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Hamko\"/>
    </mc:Choice>
  </mc:AlternateContent>
  <xr:revisionPtr revIDLastSave="0" documentId="13_ncr:1_{68B523CA-EEFB-4F36-A5D3-4267F31CF9B4}" xr6:coauthVersionLast="47" xr6:coauthVersionMax="47" xr10:uidLastSave="{00000000-0000-0000-0000-000000000000}"/>
  <workbookProtection workbookAlgorithmName="SHA-512" workbookHashValue="c+G3XpcKVnJrxsKCp3csizg3pUjxIN7447ema6cgFmb4UZF+c3SjQdIBoRAOwuPjZtgnKTywaHFHeh6dzWuaqA==" workbookSaltValue="YgJr/6bcxDESWtIIBKdEXA==" workbookSpinCount="100000" lockStructure="1"/>
  <bookViews>
    <workbookView xWindow="-120" yWindow="-120" windowWidth="20730" windowHeight="11310" xr2:uid="{00000000-000D-0000-FFFF-FFFF00000000}"/>
  </bookViews>
  <sheets>
    <sheet name="Memo" sheetId="4" r:id="rId1"/>
    <sheet name="Sheet2" sheetId="2" r:id="rId2"/>
    <sheet name="Sheet1" sheetId="1" r:id="rId3"/>
    <sheet name="Sheet4" sheetId="5" r:id="rId4"/>
    <sheet name="Sheet3" sheetId="3" state="hidden" r:id="rId5"/>
  </sheets>
  <definedNames>
    <definedName name="_xlnm.Print_Area" localSheetId="2">Sheet1!$A$1:$J$210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4" l="1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G41" i="1"/>
  <c r="H41" i="1"/>
  <c r="G42" i="1"/>
  <c r="H42" i="1"/>
  <c r="G43" i="1"/>
  <c r="H43" i="1"/>
  <c r="H40" i="1"/>
  <c r="G40" i="1"/>
  <c r="B36" i="4"/>
  <c r="E14" i="4"/>
  <c r="E36" i="4" l="1"/>
  <c r="E37" i="4" s="1"/>
  <c r="E38" i="4" l="1"/>
  <c r="E39" i="4" l="1"/>
  <c r="B40" i="4" s="1"/>
  <c r="I345" i="2" l="1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E7" i="3"/>
  <c r="E6" i="3"/>
  <c r="E5" i="3"/>
  <c r="E4" i="3"/>
  <c r="E2" i="3"/>
  <c r="H121" i="1"/>
  <c r="G121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J214" i="1"/>
  <c r="I214" i="1"/>
  <c r="H214" i="1"/>
  <c r="G214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H179" i="1"/>
  <c r="G179" i="1"/>
  <c r="G172" i="1"/>
  <c r="H172" i="1"/>
  <c r="G173" i="1"/>
  <c r="H173" i="1"/>
  <c r="G174" i="1"/>
  <c r="H174" i="1"/>
  <c r="G175" i="1"/>
  <c r="H175" i="1"/>
  <c r="H171" i="1"/>
  <c r="G171" i="1"/>
  <c r="G166" i="1"/>
  <c r="H166" i="1"/>
  <c r="G167" i="1"/>
  <c r="H167" i="1"/>
  <c r="H165" i="1"/>
  <c r="G165" i="1"/>
  <c r="G157" i="1"/>
  <c r="H157" i="1"/>
  <c r="G158" i="1"/>
  <c r="H158" i="1"/>
  <c r="G159" i="1"/>
  <c r="H159" i="1"/>
  <c r="G160" i="1"/>
  <c r="H160" i="1"/>
  <c r="G161" i="1"/>
  <c r="H161" i="1"/>
  <c r="H156" i="1"/>
  <c r="G156" i="1"/>
  <c r="G150" i="1"/>
  <c r="H150" i="1"/>
  <c r="G151" i="1"/>
  <c r="H151" i="1"/>
  <c r="G152" i="1"/>
  <c r="H152" i="1"/>
  <c r="H149" i="1"/>
  <c r="G14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H139" i="1"/>
  <c r="G139" i="1"/>
  <c r="D9" i="2" a="1"/>
  <c r="G209" i="1"/>
  <c r="H209" i="1"/>
  <c r="I209" i="1"/>
  <c r="J209" i="1"/>
  <c r="G210" i="1"/>
  <c r="H210" i="1"/>
  <c r="I210" i="1"/>
  <c r="J210" i="1"/>
  <c r="J208" i="1"/>
  <c r="I208" i="1"/>
  <c r="H208" i="1"/>
  <c r="G208" i="1"/>
  <c r="G203" i="1"/>
  <c r="H203" i="1"/>
  <c r="I203" i="1"/>
  <c r="J203" i="1"/>
  <c r="G204" i="1"/>
  <c r="H204" i="1"/>
  <c r="I204" i="1"/>
  <c r="J204" i="1"/>
  <c r="J202" i="1"/>
  <c r="I202" i="1"/>
  <c r="H202" i="1"/>
  <c r="G202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J195" i="1"/>
  <c r="I195" i="1"/>
  <c r="H195" i="1"/>
  <c r="G195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29" i="1"/>
  <c r="H129" i="1"/>
  <c r="I129" i="1"/>
  <c r="J129" i="1"/>
  <c r="J128" i="1"/>
  <c r="I128" i="1"/>
  <c r="H128" i="1"/>
  <c r="G128" i="1"/>
  <c r="G117" i="1"/>
  <c r="H117" i="1"/>
  <c r="I117" i="1"/>
  <c r="J117" i="1"/>
  <c r="J116" i="1"/>
  <c r="I116" i="1"/>
  <c r="H116" i="1"/>
  <c r="G116" i="1"/>
  <c r="G112" i="1"/>
  <c r="H112" i="1"/>
  <c r="I112" i="1"/>
  <c r="J112" i="1"/>
  <c r="J111" i="1"/>
  <c r="I111" i="1"/>
  <c r="H111" i="1"/>
  <c r="G111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J96" i="1"/>
  <c r="I96" i="1"/>
  <c r="H96" i="1"/>
  <c r="G96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J83" i="1"/>
  <c r="I83" i="1"/>
  <c r="H83" i="1"/>
  <c r="G8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J73" i="1"/>
  <c r="I73" i="1"/>
  <c r="H73" i="1"/>
  <c r="G73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J64" i="1"/>
  <c r="I64" i="1"/>
  <c r="H64" i="1"/>
  <c r="G64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J49" i="1"/>
  <c r="I49" i="1"/>
  <c r="H49" i="1"/>
  <c r="G49" i="1"/>
  <c r="G39" i="1"/>
  <c r="H39" i="1"/>
  <c r="I39" i="1"/>
  <c r="J39" i="1"/>
  <c r="G38" i="1"/>
  <c r="H38" i="1"/>
  <c r="I38" i="1"/>
  <c r="J38" i="1"/>
  <c r="G37" i="1"/>
  <c r="H37" i="1"/>
  <c r="I37" i="1"/>
  <c r="J37" i="1"/>
  <c r="G36" i="1"/>
  <c r="H36" i="1"/>
  <c r="I36" i="1"/>
  <c r="J36" i="1"/>
  <c r="G35" i="1"/>
  <c r="H35" i="1"/>
  <c r="I35" i="1"/>
  <c r="J35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J22" i="1"/>
  <c r="I22" i="1"/>
  <c r="H22" i="1"/>
  <c r="G22" i="1"/>
  <c r="G18" i="1"/>
  <c r="H18" i="1"/>
  <c r="I18" i="1"/>
  <c r="J18" i="1"/>
  <c r="G17" i="1"/>
  <c r="H17" i="1"/>
  <c r="I17" i="1"/>
  <c r="J17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3" i="1"/>
  <c r="H3" i="1"/>
  <c r="I3" i="1"/>
  <c r="J3" i="1"/>
  <c r="G4" i="1"/>
  <c r="H4" i="1"/>
  <c r="I4" i="1"/>
  <c r="J4" i="1"/>
  <c r="J2" i="1"/>
  <c r="H2" i="1"/>
  <c r="I2" i="1"/>
  <c r="G2" i="1"/>
  <c r="I48" i="2" l="1" a="1"/>
  <c r="I48" i="2" s="1"/>
  <c r="I96" i="2" a="1"/>
  <c r="I96" i="2" s="1"/>
  <c r="I112" i="2" a="1"/>
  <c r="I112" i="2" s="1"/>
  <c r="I128" i="2" a="1"/>
  <c r="I128" i="2" s="1"/>
  <c r="I144" i="2" a="1"/>
  <c r="I144" i="2" s="1"/>
  <c r="I160" i="2" a="1"/>
  <c r="I160" i="2" s="1"/>
  <c r="I176" i="2" a="1"/>
  <c r="I176" i="2" s="1"/>
  <c r="I192" i="2" a="1"/>
  <c r="I192" i="2" s="1"/>
  <c r="I208" i="2" a="1"/>
  <c r="I208" i="2" s="1"/>
  <c r="I224" i="2" a="1"/>
  <c r="I224" i="2" s="1"/>
  <c r="I240" i="2" a="1"/>
  <c r="I240" i="2" s="1"/>
  <c r="I256" i="2" a="1"/>
  <c r="I256" i="2" s="1"/>
  <c r="I272" i="2" a="1"/>
  <c r="I272" i="2" s="1"/>
  <c r="I288" i="2" a="1"/>
  <c r="I288" i="2" s="1"/>
  <c r="I304" i="2" a="1"/>
  <c r="I304" i="2" s="1"/>
  <c r="I320" i="2" a="1"/>
  <c r="I320" i="2" s="1"/>
  <c r="I336" i="2" a="1"/>
  <c r="I336" i="2" s="1"/>
  <c r="I316" i="2" a="1"/>
  <c r="I316" i="2" s="1"/>
  <c r="I284" i="2" a="1"/>
  <c r="I284" i="2" s="1"/>
  <c r="I252" i="2" a="1"/>
  <c r="I252" i="2" s="1"/>
  <c r="I220" i="2" a="1"/>
  <c r="I220" i="2" s="1"/>
  <c r="I188" i="2" a="1"/>
  <c r="I188" i="2" s="1"/>
  <c r="I156" i="2" a="1"/>
  <c r="I156" i="2" s="1"/>
  <c r="I124" i="2" a="1"/>
  <c r="I124" i="2" s="1"/>
  <c r="I92" i="2" a="1"/>
  <c r="I92" i="2" s="1"/>
  <c r="I344" i="2" a="1"/>
  <c r="I344" i="2" s="1"/>
  <c r="I328" i="2" a="1"/>
  <c r="I328" i="2" s="1"/>
  <c r="I312" i="2" a="1"/>
  <c r="I312" i="2" s="1"/>
  <c r="I296" i="2" a="1"/>
  <c r="I296" i="2" s="1"/>
  <c r="I280" i="2" a="1"/>
  <c r="I280" i="2" s="1"/>
  <c r="I264" i="2" a="1"/>
  <c r="I264" i="2" s="1"/>
  <c r="I248" i="2" a="1"/>
  <c r="I248" i="2" s="1"/>
  <c r="I232" i="2" a="1"/>
  <c r="I232" i="2" s="1"/>
  <c r="I216" i="2" a="1"/>
  <c r="I216" i="2" s="1"/>
  <c r="I200" i="2" a="1"/>
  <c r="I200" i="2" s="1"/>
  <c r="I184" i="2" a="1"/>
  <c r="I184" i="2" s="1"/>
  <c r="I168" i="2" a="1"/>
  <c r="I168" i="2" s="1"/>
  <c r="I152" i="2" a="1"/>
  <c r="I152" i="2" s="1"/>
  <c r="I136" i="2" a="1"/>
  <c r="I136" i="2" s="1"/>
  <c r="I120" i="2" a="1"/>
  <c r="I120" i="2" s="1"/>
  <c r="I104" i="2" a="1"/>
  <c r="I104" i="2" s="1"/>
  <c r="I88" i="2" a="1"/>
  <c r="I88" i="2" s="1"/>
  <c r="I332" i="2" a="1"/>
  <c r="I332" i="2" s="1"/>
  <c r="I300" i="2" a="1"/>
  <c r="I300" i="2" s="1"/>
  <c r="I268" i="2" a="1"/>
  <c r="I268" i="2" s="1"/>
  <c r="I236" i="2" a="1"/>
  <c r="I236" i="2" s="1"/>
  <c r="I204" i="2" a="1"/>
  <c r="I204" i="2" s="1"/>
  <c r="I172" i="2" a="1"/>
  <c r="I172" i="2" s="1"/>
  <c r="I140" i="2" a="1"/>
  <c r="I140" i="2" s="1"/>
  <c r="I108" i="2" a="1"/>
  <c r="I108" i="2" s="1"/>
  <c r="I340" i="2" a="1"/>
  <c r="I340" i="2" s="1"/>
  <c r="I324" i="2" a="1"/>
  <c r="I324" i="2" s="1"/>
  <c r="I308" i="2" a="1"/>
  <c r="I308" i="2" s="1"/>
  <c r="I292" i="2" a="1"/>
  <c r="I292" i="2" s="1"/>
  <c r="I276" i="2" a="1"/>
  <c r="I276" i="2" s="1"/>
  <c r="I260" i="2" a="1"/>
  <c r="I260" i="2" s="1"/>
  <c r="I244" i="2" a="1"/>
  <c r="I244" i="2" s="1"/>
  <c r="I228" i="2" a="1"/>
  <c r="I228" i="2" s="1"/>
  <c r="I212" i="2" a="1"/>
  <c r="I212" i="2" s="1"/>
  <c r="I196" i="2" a="1"/>
  <c r="I196" i="2" s="1"/>
  <c r="I180" i="2" a="1"/>
  <c r="I180" i="2" s="1"/>
  <c r="I164" i="2" a="1"/>
  <c r="I164" i="2" s="1"/>
  <c r="I148" i="2" a="1"/>
  <c r="I148" i="2" s="1"/>
  <c r="I132" i="2" a="1"/>
  <c r="I132" i="2" s="1"/>
  <c r="I116" i="2" a="1"/>
  <c r="I116" i="2" s="1"/>
  <c r="I100" i="2" a="1"/>
  <c r="I100" i="2" s="1"/>
  <c r="I84" i="2" a="1"/>
  <c r="I84" i="2" s="1"/>
  <c r="I41" i="2" a="1"/>
  <c r="I41" i="2" s="1"/>
  <c r="I45" i="2" a="1"/>
  <c r="I45" i="2" s="1"/>
  <c r="I49" i="2" a="1"/>
  <c r="I49" i="2" s="1"/>
  <c r="I53" i="2" a="1"/>
  <c r="I53" i="2" s="1"/>
  <c r="I57" i="2" a="1"/>
  <c r="I57" i="2" s="1"/>
  <c r="I61" i="2" a="1"/>
  <c r="I61" i="2" s="1"/>
  <c r="I65" i="2" a="1"/>
  <c r="I65" i="2" s="1"/>
  <c r="I69" i="2" a="1"/>
  <c r="I69" i="2" s="1"/>
  <c r="I73" i="2" a="1"/>
  <c r="I73" i="2" s="1"/>
  <c r="I77" i="2" a="1"/>
  <c r="I77" i="2" s="1"/>
  <c r="I81" i="2" a="1"/>
  <c r="I81" i="2" s="1"/>
  <c r="I85" i="2" a="1"/>
  <c r="I85" i="2" s="1"/>
  <c r="I89" i="2" a="1"/>
  <c r="I89" i="2" s="1"/>
  <c r="I93" i="2" a="1"/>
  <c r="I93" i="2" s="1"/>
  <c r="I97" i="2" a="1"/>
  <c r="I97" i="2" s="1"/>
  <c r="I101" i="2" a="1"/>
  <c r="I101" i="2" s="1"/>
  <c r="I105" i="2" a="1"/>
  <c r="I105" i="2" s="1"/>
  <c r="I109" i="2" a="1"/>
  <c r="I109" i="2" s="1"/>
  <c r="I113" i="2" a="1"/>
  <c r="I113" i="2" s="1"/>
  <c r="I117" i="2" a="1"/>
  <c r="I117" i="2" s="1"/>
  <c r="I121" i="2" a="1"/>
  <c r="I121" i="2" s="1"/>
  <c r="I125" i="2" a="1"/>
  <c r="I125" i="2" s="1"/>
  <c r="I129" i="2" a="1"/>
  <c r="I129" i="2" s="1"/>
  <c r="I133" i="2" a="1"/>
  <c r="I133" i="2" s="1"/>
  <c r="I137" i="2" a="1"/>
  <c r="I137" i="2" s="1"/>
  <c r="I141" i="2" a="1"/>
  <c r="I141" i="2" s="1"/>
  <c r="I145" i="2" a="1"/>
  <c r="I145" i="2" s="1"/>
  <c r="I149" i="2" a="1"/>
  <c r="I149" i="2" s="1"/>
  <c r="I153" i="2" a="1"/>
  <c r="I153" i="2" s="1"/>
  <c r="I157" i="2" a="1"/>
  <c r="I157" i="2" s="1"/>
  <c r="I161" i="2" a="1"/>
  <c r="I161" i="2" s="1"/>
  <c r="I165" i="2" a="1"/>
  <c r="I165" i="2" s="1"/>
  <c r="I169" i="2" a="1"/>
  <c r="I169" i="2" s="1"/>
  <c r="I173" i="2" a="1"/>
  <c r="I173" i="2" s="1"/>
  <c r="I177" i="2" a="1"/>
  <c r="I177" i="2" s="1"/>
  <c r="I181" i="2" a="1"/>
  <c r="I181" i="2" s="1"/>
  <c r="I185" i="2" a="1"/>
  <c r="I185" i="2" s="1"/>
  <c r="I189" i="2" a="1"/>
  <c r="I189" i="2" s="1"/>
  <c r="I193" i="2" a="1"/>
  <c r="I193" i="2" s="1"/>
  <c r="I197" i="2" a="1"/>
  <c r="I197" i="2" s="1"/>
  <c r="I201" i="2" a="1"/>
  <c r="I201" i="2" s="1"/>
  <c r="I205" i="2" a="1"/>
  <c r="I205" i="2" s="1"/>
  <c r="I209" i="2" a="1"/>
  <c r="I209" i="2" s="1"/>
  <c r="I213" i="2" a="1"/>
  <c r="I213" i="2" s="1"/>
  <c r="I217" i="2" a="1"/>
  <c r="I217" i="2" s="1"/>
  <c r="I221" i="2" a="1"/>
  <c r="I221" i="2" s="1"/>
  <c r="I225" i="2" a="1"/>
  <c r="I225" i="2" s="1"/>
  <c r="I229" i="2" a="1"/>
  <c r="I229" i="2" s="1"/>
  <c r="I233" i="2" a="1"/>
  <c r="I233" i="2" s="1"/>
  <c r="I237" i="2" a="1"/>
  <c r="I237" i="2" s="1"/>
  <c r="I241" i="2" a="1"/>
  <c r="I241" i="2" s="1"/>
  <c r="I245" i="2" a="1"/>
  <c r="I245" i="2" s="1"/>
  <c r="I249" i="2" a="1"/>
  <c r="I249" i="2" s="1"/>
  <c r="I253" i="2" a="1"/>
  <c r="I253" i="2" s="1"/>
  <c r="I257" i="2" a="1"/>
  <c r="I257" i="2" s="1"/>
  <c r="I261" i="2" a="1"/>
  <c r="I261" i="2" s="1"/>
  <c r="I265" i="2" a="1"/>
  <c r="I265" i="2" s="1"/>
  <c r="I269" i="2" a="1"/>
  <c r="I269" i="2" s="1"/>
  <c r="I273" i="2" a="1"/>
  <c r="I273" i="2" s="1"/>
  <c r="I277" i="2" a="1"/>
  <c r="I277" i="2" s="1"/>
  <c r="I281" i="2" a="1"/>
  <c r="I281" i="2" s="1"/>
  <c r="I285" i="2" a="1"/>
  <c r="I285" i="2" s="1"/>
  <c r="I289" i="2" a="1"/>
  <c r="I289" i="2" s="1"/>
  <c r="I293" i="2" a="1"/>
  <c r="I293" i="2" s="1"/>
  <c r="I297" i="2" a="1"/>
  <c r="I297" i="2" s="1"/>
  <c r="I301" i="2" a="1"/>
  <c r="I301" i="2" s="1"/>
  <c r="I305" i="2" a="1"/>
  <c r="I305" i="2" s="1"/>
  <c r="I309" i="2" a="1"/>
  <c r="I309" i="2" s="1"/>
  <c r="I313" i="2" a="1"/>
  <c r="I313" i="2" s="1"/>
  <c r="I317" i="2" a="1"/>
  <c r="I317" i="2" s="1"/>
  <c r="I321" i="2" a="1"/>
  <c r="I321" i="2" s="1"/>
  <c r="I325" i="2" a="1"/>
  <c r="I325" i="2" s="1"/>
  <c r="I329" i="2" a="1"/>
  <c r="I329" i="2" s="1"/>
  <c r="I333" i="2" a="1"/>
  <c r="I333" i="2" s="1"/>
  <c r="I337" i="2" a="1"/>
  <c r="I337" i="2" s="1"/>
  <c r="I341" i="2" a="1"/>
  <c r="I341" i="2" s="1"/>
  <c r="I42" i="2" a="1"/>
  <c r="I42" i="2" s="1"/>
  <c r="I46" i="2" a="1"/>
  <c r="I46" i="2" s="1"/>
  <c r="I50" i="2" a="1"/>
  <c r="I50" i="2" s="1"/>
  <c r="I54" i="2" a="1"/>
  <c r="I54" i="2" s="1"/>
  <c r="I58" i="2" a="1"/>
  <c r="I58" i="2" s="1"/>
  <c r="I62" i="2" a="1"/>
  <c r="I62" i="2" s="1"/>
  <c r="I66" i="2" a="1"/>
  <c r="I66" i="2" s="1"/>
  <c r="I70" i="2" a="1"/>
  <c r="I70" i="2" s="1"/>
  <c r="I74" i="2" a="1"/>
  <c r="I74" i="2" s="1"/>
  <c r="I78" i="2" a="1"/>
  <c r="I78" i="2" s="1"/>
  <c r="I82" i="2" a="1"/>
  <c r="I82" i="2" s="1"/>
  <c r="I86" i="2" a="1"/>
  <c r="I86" i="2" s="1"/>
  <c r="I90" i="2" a="1"/>
  <c r="I90" i="2" s="1"/>
  <c r="I94" i="2" a="1"/>
  <c r="I94" i="2" s="1"/>
  <c r="I98" i="2" a="1"/>
  <c r="I98" i="2" s="1"/>
  <c r="I102" i="2" a="1"/>
  <c r="I102" i="2" s="1"/>
  <c r="I106" i="2" a="1"/>
  <c r="I106" i="2" s="1"/>
  <c r="I110" i="2" a="1"/>
  <c r="I110" i="2" s="1"/>
  <c r="I114" i="2" a="1"/>
  <c r="I114" i="2" s="1"/>
  <c r="I118" i="2" a="1"/>
  <c r="I118" i="2" s="1"/>
  <c r="I122" i="2" a="1"/>
  <c r="I122" i="2" s="1"/>
  <c r="I126" i="2" a="1"/>
  <c r="I126" i="2" s="1"/>
  <c r="I130" i="2" a="1"/>
  <c r="I130" i="2" s="1"/>
  <c r="I134" i="2" a="1"/>
  <c r="I134" i="2" s="1"/>
  <c r="I138" i="2" a="1"/>
  <c r="I138" i="2" s="1"/>
  <c r="I142" i="2" a="1"/>
  <c r="I142" i="2" s="1"/>
  <c r="I146" i="2" a="1"/>
  <c r="I146" i="2" s="1"/>
  <c r="I150" i="2" a="1"/>
  <c r="I150" i="2" s="1"/>
  <c r="I154" i="2" a="1"/>
  <c r="I154" i="2" s="1"/>
  <c r="I158" i="2" a="1"/>
  <c r="I158" i="2" s="1"/>
  <c r="I162" i="2" a="1"/>
  <c r="I162" i="2" s="1"/>
  <c r="I166" i="2" a="1"/>
  <c r="I166" i="2" s="1"/>
  <c r="I170" i="2" a="1"/>
  <c r="I170" i="2" s="1"/>
  <c r="I174" i="2" a="1"/>
  <c r="I174" i="2" s="1"/>
  <c r="I178" i="2" a="1"/>
  <c r="I178" i="2" s="1"/>
  <c r="I182" i="2" a="1"/>
  <c r="I182" i="2" s="1"/>
  <c r="I186" i="2" a="1"/>
  <c r="I186" i="2" s="1"/>
  <c r="I190" i="2" a="1"/>
  <c r="I190" i="2" s="1"/>
  <c r="I194" i="2" a="1"/>
  <c r="I194" i="2" s="1"/>
  <c r="I198" i="2" a="1"/>
  <c r="I198" i="2" s="1"/>
  <c r="I202" i="2" a="1"/>
  <c r="I202" i="2" s="1"/>
  <c r="I206" i="2" a="1"/>
  <c r="I206" i="2" s="1"/>
  <c r="I210" i="2" a="1"/>
  <c r="I210" i="2" s="1"/>
  <c r="I214" i="2" a="1"/>
  <c r="I214" i="2" s="1"/>
  <c r="I218" i="2" a="1"/>
  <c r="I218" i="2" s="1"/>
  <c r="I222" i="2" a="1"/>
  <c r="I222" i="2" s="1"/>
  <c r="I226" i="2" a="1"/>
  <c r="I226" i="2" s="1"/>
  <c r="I230" i="2" a="1"/>
  <c r="I230" i="2" s="1"/>
  <c r="I234" i="2" a="1"/>
  <c r="I234" i="2" s="1"/>
  <c r="I238" i="2" a="1"/>
  <c r="I238" i="2" s="1"/>
  <c r="I242" i="2" a="1"/>
  <c r="I242" i="2" s="1"/>
  <c r="I246" i="2" a="1"/>
  <c r="I246" i="2" s="1"/>
  <c r="I250" i="2" a="1"/>
  <c r="I250" i="2" s="1"/>
  <c r="I254" i="2" a="1"/>
  <c r="I254" i="2" s="1"/>
  <c r="I258" i="2" a="1"/>
  <c r="I258" i="2" s="1"/>
  <c r="I262" i="2" a="1"/>
  <c r="I262" i="2" s="1"/>
  <c r="I266" i="2" a="1"/>
  <c r="I266" i="2" s="1"/>
  <c r="I270" i="2" a="1"/>
  <c r="I270" i="2" s="1"/>
  <c r="I274" i="2" a="1"/>
  <c r="I274" i="2" s="1"/>
  <c r="I278" i="2" a="1"/>
  <c r="I278" i="2" s="1"/>
  <c r="I282" i="2" a="1"/>
  <c r="I282" i="2" s="1"/>
  <c r="I286" i="2" a="1"/>
  <c r="I286" i="2" s="1"/>
  <c r="I290" i="2" a="1"/>
  <c r="I290" i="2" s="1"/>
  <c r="I294" i="2" a="1"/>
  <c r="I294" i="2" s="1"/>
  <c r="I298" i="2" a="1"/>
  <c r="I298" i="2" s="1"/>
  <c r="I302" i="2" a="1"/>
  <c r="I302" i="2" s="1"/>
  <c r="I306" i="2" a="1"/>
  <c r="I306" i="2" s="1"/>
  <c r="I310" i="2" a="1"/>
  <c r="I310" i="2" s="1"/>
  <c r="I314" i="2" a="1"/>
  <c r="I314" i="2" s="1"/>
  <c r="I318" i="2" a="1"/>
  <c r="I318" i="2" s="1"/>
  <c r="I322" i="2" a="1"/>
  <c r="I322" i="2" s="1"/>
  <c r="I326" i="2" a="1"/>
  <c r="I326" i="2" s="1"/>
  <c r="I330" i="2" a="1"/>
  <c r="I330" i="2" s="1"/>
  <c r="I334" i="2" a="1"/>
  <c r="I334" i="2" s="1"/>
  <c r="I338" i="2" a="1"/>
  <c r="I338" i="2" s="1"/>
  <c r="I342" i="2" a="1"/>
  <c r="I342" i="2" s="1"/>
  <c r="I80" i="2" a="1"/>
  <c r="I80" i="2" s="1"/>
  <c r="I76" i="2" a="1"/>
  <c r="I76" i="2" s="1"/>
  <c r="I72" i="2" a="1"/>
  <c r="I72" i="2" s="1"/>
  <c r="I68" i="2" a="1"/>
  <c r="I68" i="2" s="1"/>
  <c r="I64" i="2" a="1"/>
  <c r="I64" i="2" s="1"/>
  <c r="I60" i="2" a="1"/>
  <c r="I60" i="2" s="1"/>
  <c r="I56" i="2" a="1"/>
  <c r="I56" i="2" s="1"/>
  <c r="I52" i="2" a="1"/>
  <c r="I52" i="2" s="1"/>
  <c r="I44" i="2" a="1"/>
  <c r="I44" i="2" s="1"/>
  <c r="I343" i="2" a="1"/>
  <c r="I343" i="2" s="1"/>
  <c r="I339" i="2" a="1"/>
  <c r="I339" i="2" s="1"/>
  <c r="I335" i="2" a="1"/>
  <c r="I335" i="2" s="1"/>
  <c r="I331" i="2" a="1"/>
  <c r="I331" i="2" s="1"/>
  <c r="I327" i="2" a="1"/>
  <c r="I327" i="2" s="1"/>
  <c r="I323" i="2" a="1"/>
  <c r="I323" i="2" s="1"/>
  <c r="I319" i="2" a="1"/>
  <c r="I319" i="2" s="1"/>
  <c r="I315" i="2" a="1"/>
  <c r="I315" i="2" s="1"/>
  <c r="I311" i="2" a="1"/>
  <c r="I311" i="2" s="1"/>
  <c r="I307" i="2" a="1"/>
  <c r="I307" i="2" s="1"/>
  <c r="I303" i="2" a="1"/>
  <c r="I303" i="2" s="1"/>
  <c r="I299" i="2" a="1"/>
  <c r="I299" i="2" s="1"/>
  <c r="I295" i="2" a="1"/>
  <c r="I295" i="2" s="1"/>
  <c r="I291" i="2" a="1"/>
  <c r="I291" i="2" s="1"/>
  <c r="I287" i="2" a="1"/>
  <c r="I287" i="2" s="1"/>
  <c r="I283" i="2" a="1"/>
  <c r="I283" i="2" s="1"/>
  <c r="I279" i="2" a="1"/>
  <c r="I279" i="2" s="1"/>
  <c r="I275" i="2" a="1"/>
  <c r="I275" i="2" s="1"/>
  <c r="I271" i="2" a="1"/>
  <c r="I271" i="2" s="1"/>
  <c r="I267" i="2" a="1"/>
  <c r="I267" i="2" s="1"/>
  <c r="I263" i="2" a="1"/>
  <c r="I263" i="2" s="1"/>
  <c r="I259" i="2" a="1"/>
  <c r="I259" i="2" s="1"/>
  <c r="I255" i="2" a="1"/>
  <c r="I255" i="2" s="1"/>
  <c r="I251" i="2" a="1"/>
  <c r="I251" i="2" s="1"/>
  <c r="I247" i="2" a="1"/>
  <c r="I247" i="2" s="1"/>
  <c r="I243" i="2" a="1"/>
  <c r="I243" i="2" s="1"/>
  <c r="I239" i="2" a="1"/>
  <c r="I239" i="2" s="1"/>
  <c r="I235" i="2" a="1"/>
  <c r="I235" i="2" s="1"/>
  <c r="I231" i="2" a="1"/>
  <c r="I231" i="2" s="1"/>
  <c r="I227" i="2" a="1"/>
  <c r="I227" i="2" s="1"/>
  <c r="I223" i="2" a="1"/>
  <c r="I223" i="2" s="1"/>
  <c r="I219" i="2" a="1"/>
  <c r="I219" i="2" s="1"/>
  <c r="I215" i="2" a="1"/>
  <c r="I215" i="2" s="1"/>
  <c r="I211" i="2" a="1"/>
  <c r="I211" i="2" s="1"/>
  <c r="I207" i="2" a="1"/>
  <c r="I207" i="2" s="1"/>
  <c r="I203" i="2" a="1"/>
  <c r="I203" i="2" s="1"/>
  <c r="I199" i="2" a="1"/>
  <c r="I199" i="2" s="1"/>
  <c r="I195" i="2" a="1"/>
  <c r="I195" i="2" s="1"/>
  <c r="I191" i="2" a="1"/>
  <c r="I191" i="2" s="1"/>
  <c r="I187" i="2" a="1"/>
  <c r="I187" i="2" s="1"/>
  <c r="I183" i="2" a="1"/>
  <c r="I183" i="2" s="1"/>
  <c r="I179" i="2" a="1"/>
  <c r="I179" i="2" s="1"/>
  <c r="I175" i="2" a="1"/>
  <c r="I175" i="2" s="1"/>
  <c r="I171" i="2" a="1"/>
  <c r="I171" i="2" s="1"/>
  <c r="I167" i="2" a="1"/>
  <c r="I167" i="2" s="1"/>
  <c r="I163" i="2" a="1"/>
  <c r="I163" i="2" s="1"/>
  <c r="I159" i="2" a="1"/>
  <c r="I159" i="2" s="1"/>
  <c r="I155" i="2" a="1"/>
  <c r="I155" i="2" s="1"/>
  <c r="I151" i="2" a="1"/>
  <c r="I151" i="2" s="1"/>
  <c r="I147" i="2" a="1"/>
  <c r="I147" i="2" s="1"/>
  <c r="I143" i="2" a="1"/>
  <c r="I143" i="2" s="1"/>
  <c r="I139" i="2" a="1"/>
  <c r="I139" i="2" s="1"/>
  <c r="I135" i="2" a="1"/>
  <c r="I135" i="2" s="1"/>
  <c r="I131" i="2" a="1"/>
  <c r="I131" i="2" s="1"/>
  <c r="I127" i="2" a="1"/>
  <c r="I127" i="2" s="1"/>
  <c r="I123" i="2" a="1"/>
  <c r="I123" i="2" s="1"/>
  <c r="I119" i="2" a="1"/>
  <c r="I119" i="2" s="1"/>
  <c r="I115" i="2" a="1"/>
  <c r="I115" i="2" s="1"/>
  <c r="I111" i="2" a="1"/>
  <c r="I111" i="2" s="1"/>
  <c r="I107" i="2" a="1"/>
  <c r="I107" i="2" s="1"/>
  <c r="I103" i="2" a="1"/>
  <c r="I103" i="2" s="1"/>
  <c r="I99" i="2" a="1"/>
  <c r="I99" i="2" s="1"/>
  <c r="I95" i="2" a="1"/>
  <c r="I95" i="2" s="1"/>
  <c r="I91" i="2" a="1"/>
  <c r="I91" i="2" s="1"/>
  <c r="I87" i="2" a="1"/>
  <c r="I87" i="2" s="1"/>
  <c r="I83" i="2" a="1"/>
  <c r="I83" i="2" s="1"/>
  <c r="I79" i="2" a="1"/>
  <c r="I79" i="2" s="1"/>
  <c r="I75" i="2" a="1"/>
  <c r="I75" i="2" s="1"/>
  <c r="I71" i="2" a="1"/>
  <c r="I71" i="2" s="1"/>
  <c r="I67" i="2" a="1"/>
  <c r="I67" i="2" s="1"/>
  <c r="I63" i="2" a="1"/>
  <c r="I63" i="2" s="1"/>
  <c r="I59" i="2" a="1"/>
  <c r="I59" i="2" s="1"/>
  <c r="I55" i="2" a="1"/>
  <c r="I55" i="2" s="1"/>
  <c r="I51" i="2" a="1"/>
  <c r="I51" i="2" s="1"/>
  <c r="I47" i="2" a="1"/>
  <c r="I47" i="2" s="1"/>
  <c r="I43" i="2" a="1"/>
  <c r="I43" i="2" s="1"/>
  <c r="I27" i="2" a="1"/>
  <c r="I27" i="2" s="1"/>
  <c r="I31" i="2" a="1"/>
  <c r="I31" i="2" s="1"/>
  <c r="I35" i="2" a="1"/>
  <c r="I35" i="2" s="1"/>
  <c r="I39" i="2" a="1"/>
  <c r="I39" i="2" s="1"/>
  <c r="I30" i="2" a="1"/>
  <c r="I30" i="2" s="1"/>
  <c r="I28" i="2" a="1"/>
  <c r="I28" i="2" s="1"/>
  <c r="I32" i="2" a="1"/>
  <c r="I32" i="2" s="1"/>
  <c r="I36" i="2" a="1"/>
  <c r="I36" i="2" s="1"/>
  <c r="I40" i="2" a="1"/>
  <c r="I40" i="2" s="1"/>
  <c r="I34" i="2" a="1"/>
  <c r="I34" i="2" s="1"/>
  <c r="I38" i="2" a="1"/>
  <c r="I38" i="2" s="1"/>
  <c r="I29" i="2" a="1"/>
  <c r="I29" i="2" s="1"/>
  <c r="I33" i="2" a="1"/>
  <c r="I33" i="2" s="1"/>
  <c r="I37" i="2" a="1"/>
  <c r="I37" i="2" s="1"/>
  <c r="I10" i="2" a="1"/>
  <c r="I10" i="2" s="1"/>
  <c r="I14" i="2" a="1"/>
  <c r="I14" i="2" s="1"/>
  <c r="I18" i="2" a="1"/>
  <c r="I18" i="2" s="1"/>
  <c r="I22" i="2" a="1"/>
  <c r="I22" i="2" s="1"/>
  <c r="I26" i="2" a="1"/>
  <c r="I26" i="2" s="1"/>
  <c r="I13" i="2" a="1"/>
  <c r="I13" i="2" s="1"/>
  <c r="I24" i="2" a="1"/>
  <c r="I24" i="2" s="1"/>
  <c r="I20" i="2" a="1"/>
  <c r="I20" i="2" s="1"/>
  <c r="I16" i="2" a="1"/>
  <c r="I16" i="2" s="1"/>
  <c r="I12" i="2" a="1"/>
  <c r="I12" i="2" s="1"/>
  <c r="I9" i="2" a="1"/>
  <c r="I9" i="2" s="1"/>
  <c r="I25" i="2" a="1"/>
  <c r="I25" i="2" s="1"/>
  <c r="I21" i="2" a="1"/>
  <c r="I21" i="2" s="1"/>
  <c r="I17" i="2" a="1"/>
  <c r="I17" i="2" s="1"/>
  <c r="I23" i="2" a="1"/>
  <c r="I23" i="2" s="1"/>
  <c r="I19" i="2" a="1"/>
  <c r="I19" i="2" s="1"/>
  <c r="I15" i="2" a="1"/>
  <c r="I15" i="2" s="1"/>
  <c r="I11" i="2" a="1"/>
  <c r="I11" i="2" s="1"/>
  <c r="D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<sst xmlns="http://schemas.openxmlformats.org/spreadsheetml/2006/main" count="725" uniqueCount="282">
  <si>
    <t>SL</t>
  </si>
  <si>
    <t>DP</t>
  </si>
  <si>
    <t>Casserole</t>
  </si>
  <si>
    <t>B. 12</t>
  </si>
  <si>
    <t>B. 14</t>
  </si>
  <si>
    <t>D. 12</t>
  </si>
  <si>
    <t>D. 10</t>
  </si>
  <si>
    <t>Rice Cooker</t>
  </si>
  <si>
    <t>Size</t>
  </si>
  <si>
    <t>HA15-01</t>
  </si>
  <si>
    <t>Still R/C- SS+Alu Pot</t>
  </si>
  <si>
    <t>HA15-02</t>
  </si>
  <si>
    <t>HA15-04</t>
  </si>
  <si>
    <t>Double SS Pot</t>
  </si>
  <si>
    <t>HA15-03</t>
  </si>
  <si>
    <t>Still R/C- Singel Alu Pot</t>
  </si>
  <si>
    <t>Still R/C- Singel SS Pot</t>
  </si>
  <si>
    <t>HA15-05</t>
  </si>
  <si>
    <t>F.B Double SS Pot</t>
  </si>
  <si>
    <t>HA15-07</t>
  </si>
  <si>
    <t>F.B R/C- SS+Alu Pot</t>
  </si>
  <si>
    <t>HA15-08</t>
  </si>
  <si>
    <t>F.B R/C- Singel Alu Pot</t>
  </si>
  <si>
    <t>HA15-10</t>
  </si>
  <si>
    <t>F.B R/C- Singel SS Pot</t>
  </si>
  <si>
    <t>HA15-11</t>
  </si>
  <si>
    <t>HA15-12</t>
  </si>
  <si>
    <t>HA15-13</t>
  </si>
  <si>
    <t>HA15-15</t>
  </si>
  <si>
    <t>HA15-16</t>
  </si>
  <si>
    <t>HA15-17</t>
  </si>
  <si>
    <t>HA15-18</t>
  </si>
  <si>
    <t>HR14-01</t>
  </si>
  <si>
    <t>J.B R/C- SS+Alu Pot MC R+G Line</t>
  </si>
  <si>
    <t>Code</t>
  </si>
  <si>
    <t>Pressure Cooker</t>
  </si>
  <si>
    <t>HA5-01</t>
  </si>
  <si>
    <t>Pressure Cooker Straight</t>
  </si>
  <si>
    <t>HA5-02</t>
  </si>
  <si>
    <t>HA5-03</t>
  </si>
  <si>
    <t>HA5-04</t>
  </si>
  <si>
    <t>HA5-05</t>
  </si>
  <si>
    <t>HA5-06</t>
  </si>
  <si>
    <t>HA5-07</t>
  </si>
  <si>
    <t>HA5-08</t>
  </si>
  <si>
    <t>HA5-09</t>
  </si>
  <si>
    <t>HA5-10</t>
  </si>
  <si>
    <t>HA5-11</t>
  </si>
  <si>
    <t>HA5-12</t>
  </si>
  <si>
    <t>Pressure Cooker Oval</t>
  </si>
  <si>
    <t>Pressure Cooker Straight IB</t>
  </si>
  <si>
    <t>HA6-01</t>
  </si>
  <si>
    <t>HA6-02</t>
  </si>
  <si>
    <t>HA6-03</t>
  </si>
  <si>
    <t>HA6-04</t>
  </si>
  <si>
    <t>HA6-05</t>
  </si>
  <si>
    <t>HA6-06</t>
  </si>
  <si>
    <t>Pressure Cooker Oval IB</t>
  </si>
  <si>
    <t>HAF1-01</t>
  </si>
  <si>
    <t>Casserole Pan</t>
  </si>
  <si>
    <t>HAF1-02</t>
  </si>
  <si>
    <t>HAF1-03</t>
  </si>
  <si>
    <t>HAF1-04</t>
  </si>
  <si>
    <t>HAF1-05</t>
  </si>
  <si>
    <t>HAF1-06</t>
  </si>
  <si>
    <t>HAF1-07</t>
  </si>
  <si>
    <t>HAF1-08</t>
  </si>
  <si>
    <t>HAF1-09</t>
  </si>
  <si>
    <t>HAF1-10</t>
  </si>
  <si>
    <t>HAF1-11</t>
  </si>
  <si>
    <t>HAF1-12</t>
  </si>
  <si>
    <t>Casserole Pan IB</t>
  </si>
  <si>
    <t>Deep Frypan</t>
  </si>
  <si>
    <t>HAF2-01</t>
  </si>
  <si>
    <t>HAF2-02</t>
  </si>
  <si>
    <t>HAF2-03</t>
  </si>
  <si>
    <t>HAF2-04</t>
  </si>
  <si>
    <t>HAF2-05</t>
  </si>
  <si>
    <t>HAF2-06</t>
  </si>
  <si>
    <t>Deep Frypan IB</t>
  </si>
  <si>
    <t>Frypan</t>
  </si>
  <si>
    <t>HAF3-01</t>
  </si>
  <si>
    <t>HAF3-02</t>
  </si>
  <si>
    <t>HAF3-03</t>
  </si>
  <si>
    <t>HAF3-04</t>
  </si>
  <si>
    <t>HAF3-05</t>
  </si>
  <si>
    <t>HAF3-06</t>
  </si>
  <si>
    <t>HAF3-07</t>
  </si>
  <si>
    <t>HAF3-08</t>
  </si>
  <si>
    <t>HAF3-09</t>
  </si>
  <si>
    <t>HAF3-10</t>
  </si>
  <si>
    <t>HAF3-21</t>
  </si>
  <si>
    <t>Frypan IB</t>
  </si>
  <si>
    <t>Frypan Without Lid</t>
  </si>
  <si>
    <t>HAF3-22</t>
  </si>
  <si>
    <t>HAF3-23</t>
  </si>
  <si>
    <t>HAF3-24</t>
  </si>
  <si>
    <t>HAF3-25</t>
  </si>
  <si>
    <t>HAF3-26</t>
  </si>
  <si>
    <t>HAF3-27</t>
  </si>
  <si>
    <t>HAF3-28</t>
  </si>
  <si>
    <t>HAF3-29</t>
  </si>
  <si>
    <t>HAF3-30</t>
  </si>
  <si>
    <t>Frypan Without Lid IB</t>
  </si>
  <si>
    <t>Wokpan</t>
  </si>
  <si>
    <t>HA12-01</t>
  </si>
  <si>
    <t>Wokpan With Glass Lid</t>
  </si>
  <si>
    <t>HA12-02</t>
  </si>
  <si>
    <t>HA12-03</t>
  </si>
  <si>
    <t>HA12-04</t>
  </si>
  <si>
    <t>HA12-05</t>
  </si>
  <si>
    <t>HA12-06</t>
  </si>
  <si>
    <t>HA12-07</t>
  </si>
  <si>
    <t>HA12-08</t>
  </si>
  <si>
    <t>HA12-09</t>
  </si>
  <si>
    <t>HA12-10</t>
  </si>
  <si>
    <t>HA12-11</t>
  </si>
  <si>
    <t>HA12-12</t>
  </si>
  <si>
    <t>Wokpan With Glass Lid IB</t>
  </si>
  <si>
    <t>Gift Set</t>
  </si>
  <si>
    <t>NS Gift Set- 7pcs</t>
  </si>
  <si>
    <t>NS Gift Set- 7pcs IB</t>
  </si>
  <si>
    <t>Milk Pan</t>
  </si>
  <si>
    <t>HA13-01</t>
  </si>
  <si>
    <t>HA13-02</t>
  </si>
  <si>
    <t>Milk Pan IB</t>
  </si>
  <si>
    <t>HS7-01</t>
  </si>
  <si>
    <t>SS Milk Pan</t>
  </si>
  <si>
    <t>Pizza Pan</t>
  </si>
  <si>
    <t>Ruti/Pizza Pan</t>
  </si>
  <si>
    <t>HA7-01</t>
  </si>
  <si>
    <t>Ruti Tawa</t>
  </si>
  <si>
    <t>HA7-02</t>
  </si>
  <si>
    <t>HA8-01</t>
  </si>
  <si>
    <t>HA8-02</t>
  </si>
  <si>
    <t>HA8-03</t>
  </si>
  <si>
    <t>HA8-04</t>
  </si>
  <si>
    <t>HA8-05</t>
  </si>
  <si>
    <t>Pizza Pan IB</t>
  </si>
  <si>
    <t>HA8-06</t>
  </si>
  <si>
    <t>SS Sauce Pan</t>
  </si>
  <si>
    <t>HS1-01</t>
  </si>
  <si>
    <t>SS Sauce Pan Oval IB</t>
  </si>
  <si>
    <t>HS1-02</t>
  </si>
  <si>
    <t>HS1-03</t>
  </si>
  <si>
    <t>HS1-04</t>
  </si>
  <si>
    <t>SS Sauce Pan Straight IB</t>
  </si>
  <si>
    <t>HS3-01</t>
  </si>
  <si>
    <t>HS3-02</t>
  </si>
  <si>
    <t>HS3-03</t>
  </si>
  <si>
    <t>SS 3 Layer Sauce Pan</t>
  </si>
  <si>
    <t>HS19-01</t>
  </si>
  <si>
    <t>HS19-02</t>
  </si>
  <si>
    <t>HS19-03</t>
  </si>
  <si>
    <t>HS19-04</t>
  </si>
  <si>
    <t>SS Fry Pan</t>
  </si>
  <si>
    <t>HS2-01</t>
  </si>
  <si>
    <t>HS2-02</t>
  </si>
  <si>
    <t>HS2-03</t>
  </si>
  <si>
    <t>HS2-04</t>
  </si>
  <si>
    <t>SS Fry Pan With Glass Lid</t>
  </si>
  <si>
    <t>LH SS Fry Pan With Glass Lid</t>
  </si>
  <si>
    <t>SS 3 Layer Wok Pan</t>
  </si>
  <si>
    <t>HS11-00</t>
  </si>
  <si>
    <t>SS 3 Layer Fry Pan</t>
  </si>
  <si>
    <t>HS11-01</t>
  </si>
  <si>
    <t>HS11-04</t>
  </si>
  <si>
    <t>HS11-02</t>
  </si>
  <si>
    <t>HS11-03</t>
  </si>
  <si>
    <t>Two Side Handle Pot</t>
  </si>
  <si>
    <t>HS4-01</t>
  </si>
  <si>
    <t>HS4-02</t>
  </si>
  <si>
    <t>HS4-03</t>
  </si>
  <si>
    <t>HS4-04</t>
  </si>
  <si>
    <t>HS4-05</t>
  </si>
  <si>
    <t>SS Plate</t>
  </si>
  <si>
    <t>HS6-00</t>
  </si>
  <si>
    <t>HS6-01</t>
  </si>
  <si>
    <t>HS6-02</t>
  </si>
  <si>
    <t>HS6-03</t>
  </si>
  <si>
    <t>SS Plate/Bowl</t>
  </si>
  <si>
    <t>HS5-00</t>
  </si>
  <si>
    <t>SS Bowl</t>
  </si>
  <si>
    <t>HS5-01</t>
  </si>
  <si>
    <t>HS5-02</t>
  </si>
  <si>
    <t>HS5-03</t>
  </si>
  <si>
    <t>HS5-04</t>
  </si>
  <si>
    <t>HS5-05</t>
  </si>
  <si>
    <t>HS5-06</t>
  </si>
  <si>
    <t>HS5-07</t>
  </si>
  <si>
    <t>HS5-08</t>
  </si>
  <si>
    <t>Electric Kettle</t>
  </si>
  <si>
    <t>Glass Electric Kettle</t>
  </si>
  <si>
    <t>SS Electric Kettle</t>
  </si>
  <si>
    <t>Electric Cooker</t>
  </si>
  <si>
    <t>HEC-1-03</t>
  </si>
  <si>
    <t>HEC-2-01</t>
  </si>
  <si>
    <t>Infrared Cooker CMT-22</t>
  </si>
  <si>
    <t>Induction Cooker</t>
  </si>
  <si>
    <t>Infrared Cooker CMT-22 Metal</t>
  </si>
  <si>
    <t>Blander</t>
  </si>
  <si>
    <t>HR14-11</t>
  </si>
  <si>
    <t>R/C</t>
  </si>
  <si>
    <t>P/C</t>
  </si>
  <si>
    <t>Group</t>
  </si>
  <si>
    <t>C/P</t>
  </si>
  <si>
    <t>F/P</t>
  </si>
  <si>
    <t>W/P</t>
  </si>
  <si>
    <t>Gift</t>
  </si>
  <si>
    <t>M/P</t>
  </si>
  <si>
    <t>R/T</t>
  </si>
  <si>
    <t>P/P</t>
  </si>
  <si>
    <t>S/P</t>
  </si>
  <si>
    <t>TH/P</t>
  </si>
  <si>
    <t>Plate</t>
  </si>
  <si>
    <t>Bowl</t>
  </si>
  <si>
    <t>K/Y</t>
  </si>
  <si>
    <t>I/C</t>
  </si>
  <si>
    <t>B/L</t>
  </si>
  <si>
    <t>Name</t>
  </si>
  <si>
    <t xml:space="preserve">     Input</t>
  </si>
  <si>
    <t>HE18-08</t>
  </si>
  <si>
    <t>PL Electric Kettle</t>
  </si>
  <si>
    <t>HS18-07</t>
  </si>
  <si>
    <t>HS18-05</t>
  </si>
  <si>
    <t>HS18-06</t>
  </si>
  <si>
    <t>HB1-01</t>
  </si>
  <si>
    <t>HB1-02</t>
  </si>
  <si>
    <t>HB1-04</t>
  </si>
  <si>
    <t>HEC-2-02</t>
  </si>
  <si>
    <t>HAG15-01</t>
  </si>
  <si>
    <t>HAG15-02</t>
  </si>
  <si>
    <t>Gas Stove</t>
  </si>
  <si>
    <t>G/S</t>
  </si>
  <si>
    <t>SS Single Stove</t>
  </si>
  <si>
    <t>Glass Single Stove</t>
  </si>
  <si>
    <t>Glass Double Stove</t>
  </si>
  <si>
    <t>100+100</t>
  </si>
  <si>
    <t>SS</t>
  </si>
  <si>
    <t>G/S-1</t>
  </si>
  <si>
    <t>G/S-2</t>
  </si>
  <si>
    <t>G/S-3</t>
  </si>
  <si>
    <t>D. 6</t>
  </si>
  <si>
    <t>B. 8</t>
  </si>
  <si>
    <t>SS/F/P</t>
  </si>
  <si>
    <t>Bill of: Sales Central-Cookware</t>
  </si>
  <si>
    <t>Invoice No:</t>
  </si>
  <si>
    <t>Party Code:</t>
  </si>
  <si>
    <t>Party Name:</t>
  </si>
  <si>
    <t>Ref No:</t>
  </si>
  <si>
    <t>D4-05092/26</t>
  </si>
  <si>
    <t>Address:</t>
  </si>
  <si>
    <t>Date:</t>
  </si>
  <si>
    <t>Contact:</t>
  </si>
  <si>
    <t>Gate Pass Ref:</t>
  </si>
  <si>
    <t>NID:</t>
  </si>
  <si>
    <t>Note:</t>
  </si>
  <si>
    <t>Serial No</t>
  </si>
  <si>
    <t>Description Of Goods</t>
  </si>
  <si>
    <t>Quantity</t>
  </si>
  <si>
    <t>Rate</t>
  </si>
  <si>
    <t>Amount</t>
  </si>
  <si>
    <t>TOTAL:</t>
  </si>
  <si>
    <t>Commission</t>
  </si>
  <si>
    <t>(-)%</t>
  </si>
  <si>
    <t>Final Total:</t>
  </si>
  <si>
    <t>Prepared By:.......</t>
  </si>
  <si>
    <t>Checked BY:........</t>
  </si>
  <si>
    <t>Authorized BY:.......</t>
  </si>
  <si>
    <t>Customer Signature:.....</t>
  </si>
  <si>
    <t>M/S Swarna Enterprise</t>
  </si>
  <si>
    <t>HS21-01</t>
  </si>
  <si>
    <t>SS 3 Layer Pressure Cooker</t>
  </si>
  <si>
    <t>HS21-02</t>
  </si>
  <si>
    <t>HS21-03</t>
  </si>
  <si>
    <t>HS21-04</t>
  </si>
  <si>
    <t>D4-05092/26 .Van-Shamim</t>
  </si>
  <si>
    <t>Cash Discount</t>
  </si>
  <si>
    <t>Digital Aluminium</t>
  </si>
  <si>
    <t>Safa, Mathbaria</t>
  </si>
  <si>
    <t>SS Electric Kettle-1.8Ltr (UnDelivery)</t>
  </si>
  <si>
    <t>SS Electric Kettle- Lower Part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</si>
</sst>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#,##0\ &quot;Pcs&quot;"/>
  </numFmts>
  <fonts count="1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Arial Rounded MT Bold"/>
      <family val="2"/>
    </font>
    <font>
      <b/>
      <sz val="20"/>
      <color theme="1"/>
      <name val="Arial Rounded MT Bold"/>
      <family val="2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.5"/>
      <name val="Times New Roman"/>
      <family val="1"/>
    </font>
    <font>
      <sz val="12"/>
      <color theme="1"/>
      <name val="Times New Roman"/>
      <family val="1"/>
    </font>
    <font>
      <sz val="12.5"/>
      <color theme="1"/>
      <name val="Times New Roman"/>
      <family val="1"/>
    </font>
    <font>
      <b/>
      <sz val="11"/>
      <name val="Times New Roman"/>
      <family val="1"/>
    </font>
    <font>
      <sz val="12.5"/>
      <name val="Times New Roman"/>
      <family val="1"/>
    </font>
    <font>
      <b/>
      <sz val="12.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26"/>
      <name val="Times New Roman"/>
      <family val="1"/>
    </font>
    <font>
      <sz val="2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0" fillId="0" borderId="0" xfId="0" applyFont="1"/>
    <xf numFmtId="0" fontId="0" fillId="0" borderId="0" xfId="0" applyFont="1" applyFill="1" applyBorder="1"/>
    <xf numFmtId="0" fontId="1" fillId="0" borderId="1" xfId="0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1" fontId="0" fillId="3" borderId="1" xfId="0" applyNumberFormat="1" applyFill="1" applyBorder="1" applyProtection="1">
      <protection hidden="1"/>
    </xf>
    <xf numFmtId="2" fontId="0" fillId="3" borderId="1" xfId="0" applyNumberFormat="1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" fontId="0" fillId="0" borderId="1" xfId="0" applyNumberFormat="1" applyBorder="1" applyProtection="1">
      <protection hidden="1"/>
    </xf>
    <xf numFmtId="2" fontId="0" fillId="0" borderId="1" xfId="0" applyNumberFormat="1" applyBorder="1" applyProtection="1">
      <protection hidden="1"/>
    </xf>
    <xf numFmtId="2" fontId="0" fillId="0" borderId="0" xfId="0" applyNumberFormat="1" applyProtection="1"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1" xfId="0" applyFill="1" applyBorder="1" applyProtection="1">
      <protection hidden="1"/>
    </xf>
    <xf numFmtId="1" fontId="0" fillId="0" borderId="1" xfId="0" applyNumberFormat="1" applyFill="1" applyBorder="1" applyProtection="1">
      <protection hidden="1"/>
    </xf>
    <xf numFmtId="2" fontId="0" fillId="0" borderId="1" xfId="0" applyNumberFormat="1" applyFill="1" applyBorder="1" applyProtection="1">
      <protection hidden="1"/>
    </xf>
    <xf numFmtId="0" fontId="0" fillId="0" borderId="0" xfId="0" applyFill="1" applyProtection="1">
      <protection hidden="1"/>
    </xf>
    <xf numFmtId="0" fontId="0" fillId="0" borderId="1" xfId="0" quotePrefix="1" applyFill="1" applyBorder="1" applyProtection="1"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1" fontId="0" fillId="2" borderId="1" xfId="0" applyNumberFormat="1" applyFill="1" applyBorder="1" applyProtection="1">
      <protection hidden="1"/>
    </xf>
    <xf numFmtId="2" fontId="0" fillId="2" borderId="1" xfId="0" applyNumberFormat="1" applyFill="1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7" fillId="0" borderId="7" xfId="0" applyFont="1" applyBorder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horizontal="left" wrapText="1"/>
      <protection locked="0"/>
    </xf>
    <xf numFmtId="0" fontId="9" fillId="0" borderId="0" xfId="0" applyFont="1" applyProtection="1">
      <protection locked="0"/>
    </xf>
    <xf numFmtId="15" fontId="9" fillId="0" borderId="0" xfId="0" applyNumberFormat="1" applyFont="1" applyAlignment="1" applyProtection="1">
      <alignment horizontal="left"/>
      <protection locked="0"/>
    </xf>
    <xf numFmtId="164" fontId="9" fillId="0" borderId="0" xfId="0" applyNumberFormat="1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right"/>
      <protection locked="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65" fontId="9" fillId="0" borderId="1" xfId="0" applyNumberFormat="1" applyFont="1" applyBorder="1" applyAlignment="1" applyProtection="1">
      <alignment horizontal="right" vertical="center"/>
      <protection locked="0"/>
    </xf>
    <xf numFmtId="4" fontId="9" fillId="0" borderId="1" xfId="0" applyNumberFormat="1" applyFont="1" applyBorder="1" applyAlignment="1" applyProtection="1">
      <alignment horizontal="right" vertical="center"/>
      <protection locked="0"/>
    </xf>
    <xf numFmtId="4" fontId="9" fillId="0" borderId="1" xfId="0" applyNumberFormat="1" applyFont="1" applyBorder="1" applyAlignment="1" applyProtection="1">
      <alignment horizontal="right" vertical="center"/>
      <protection hidden="1"/>
    </xf>
    <xf numFmtId="0" fontId="8" fillId="0" borderId="1" xfId="0" applyFont="1" applyBorder="1" applyAlignment="1" applyProtection="1">
      <alignment horizontal="right" vertical="center"/>
      <protection locked="0"/>
    </xf>
    <xf numFmtId="0" fontId="12" fillId="0" borderId="1" xfId="0" applyFont="1" applyBorder="1" applyAlignment="1" applyProtection="1">
      <alignment horizontal="right" vertical="center"/>
      <protection locked="0"/>
    </xf>
    <xf numFmtId="4" fontId="8" fillId="0" borderId="1" xfId="0" applyNumberFormat="1" applyFont="1" applyBorder="1" applyAlignment="1" applyProtection="1">
      <alignment horizontal="right" vertical="center"/>
      <protection hidden="1"/>
    </xf>
    <xf numFmtId="0" fontId="13" fillId="0" borderId="1" xfId="0" applyFont="1" applyBorder="1" applyAlignment="1" applyProtection="1">
      <alignment horizontal="right" vertical="center"/>
      <protection locked="0"/>
    </xf>
    <xf numFmtId="4" fontId="13" fillId="0" borderId="1" xfId="0" applyNumberFormat="1" applyFont="1" applyBorder="1" applyAlignment="1" applyProtection="1">
      <alignment horizontal="right" vertical="center"/>
      <protection hidden="1"/>
    </xf>
    <xf numFmtId="4" fontId="7" fillId="0" borderId="0" xfId="0" applyNumberFormat="1" applyFont="1" applyProtection="1">
      <protection locked="0"/>
    </xf>
    <xf numFmtId="0" fontId="13" fillId="0" borderId="1" xfId="0" applyFont="1" applyBorder="1" applyAlignment="1" applyProtection="1">
      <alignment horizontal="right"/>
      <protection locked="0"/>
    </xf>
    <xf numFmtId="4" fontId="8" fillId="0" borderId="1" xfId="0" applyNumberFormat="1" applyFont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Protection="1">
      <protection locked="0"/>
    </xf>
    <xf numFmtId="165" fontId="8" fillId="0" borderId="1" xfId="0" applyNumberFormat="1" applyFont="1" applyBorder="1" applyAlignment="1" applyProtection="1">
      <alignment horizontal="right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hidden="1"/>
    </xf>
    <xf numFmtId="0" fontId="4" fillId="4" borderId="3" xfId="0" applyFont="1" applyFill="1" applyBorder="1" applyAlignment="1" applyProtection="1">
      <alignment horizontal="center" vertical="center"/>
      <protection hidden="1"/>
    </xf>
    <xf numFmtId="0" fontId="4" fillId="4" borderId="4" xfId="0" applyFont="1" applyFill="1" applyBorder="1" applyAlignment="1" applyProtection="1">
      <alignment horizontal="center" vertical="center"/>
      <protection hidden="1"/>
    </xf>
    <xf numFmtId="0" fontId="4" fillId="4" borderId="5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85717</xdr:colOff>
      <xdr:row>5</xdr:row>
      <xdr:rowOff>76207</xdr:rowOff>
    </xdr:from>
    <xdr:to>
      <xdr:col>1</xdr:col>
      <xdr:colOff>704850</xdr:colOff>
      <xdr:row>5</xdr:row>
      <xdr:rowOff>295275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99A5CF-10FE-41D9-AEBD-3FF354BC3A2B}"/>
            </a:ext>
          </a:extLst>
        </xdr:cNvPr>
        <xdr:cNvGrpSpPr>
          <a:grpSpLocks/>
        </xdr:cNvGrpSpPr>
      </xdr:nvGrpSpPr>
      <xdr:grpSpPr>
        <a:xfrm>
          <a:off x="1181092" y="1295407"/>
          <a:ext cx="619133" cy="133343"/>
          <a:chOff x="-8" y="7"/>
          <a:chExt cx="575310" cy="218440"/>
        </a:xfrm>
      </xdr:grpSpPr>
      <xdr:sp macro="" textlink="">
        <xdr:nvSpPr>
          <xdr:cNvPr id="3" name="Freeform: Shape 2">
            <a:extLst>
              <a:ext uri="{FF2B5EF4-FFF2-40B4-BE49-F238E27FC236}">
                <a16:creationId xmlns:a16="http://schemas.microsoft.com/office/drawing/2014/main" id="{9A2AF08B-E62B-4560-BAF7-2067716BF7A2}"/>
              </a:ext>
            </a:extLst>
          </xdr:cNvPr>
          <xdr:cNvSpPr/>
        </xdr:nvSpPr>
        <xdr:spPr>
          <a:xfrm>
            <a:off x="-8" y="7"/>
            <a:ext cx="575310" cy="218440"/>
          </a:xfrm>
          <a:custGeom>
            <a:avLst/>
            <a:gdLst/>
            <a:ahLst/>
            <a:cxnLst/>
            <a:rect l="l" t="t" r="r" b="b"/>
            <a:pathLst>
              <a:path w="575310" h="218440">
                <a:moveTo>
                  <a:pt x="14566" y="0"/>
                </a:moveTo>
                <a:lnTo>
                  <a:pt x="0" y="0"/>
                </a:lnTo>
                <a:lnTo>
                  <a:pt x="0" y="218440"/>
                </a:lnTo>
                <a:lnTo>
                  <a:pt x="14566" y="218440"/>
                </a:lnTo>
                <a:lnTo>
                  <a:pt x="14566" y="0"/>
                </a:lnTo>
                <a:close/>
              </a:path>
              <a:path w="575310" h="218440">
                <a:moveTo>
                  <a:pt x="29133" y="0"/>
                </a:moveTo>
                <a:lnTo>
                  <a:pt x="21844" y="0"/>
                </a:lnTo>
                <a:lnTo>
                  <a:pt x="21844" y="218440"/>
                </a:lnTo>
                <a:lnTo>
                  <a:pt x="29133" y="218440"/>
                </a:lnTo>
                <a:lnTo>
                  <a:pt x="29133" y="0"/>
                </a:lnTo>
                <a:close/>
              </a:path>
              <a:path w="575310" h="218440">
                <a:moveTo>
                  <a:pt x="65532" y="0"/>
                </a:moveTo>
                <a:lnTo>
                  <a:pt x="43688" y="0"/>
                </a:lnTo>
                <a:lnTo>
                  <a:pt x="43688" y="218440"/>
                </a:lnTo>
                <a:lnTo>
                  <a:pt x="65532" y="218440"/>
                </a:lnTo>
                <a:lnTo>
                  <a:pt x="65532" y="0"/>
                </a:lnTo>
                <a:close/>
              </a:path>
              <a:path w="575310" h="218440">
                <a:moveTo>
                  <a:pt x="101942" y="0"/>
                </a:moveTo>
                <a:lnTo>
                  <a:pt x="80098" y="0"/>
                </a:lnTo>
                <a:lnTo>
                  <a:pt x="80098" y="218440"/>
                </a:lnTo>
                <a:lnTo>
                  <a:pt x="101942" y="218440"/>
                </a:lnTo>
                <a:lnTo>
                  <a:pt x="101942" y="0"/>
                </a:lnTo>
                <a:close/>
              </a:path>
              <a:path w="575310" h="218440">
                <a:moveTo>
                  <a:pt x="123786" y="0"/>
                </a:moveTo>
                <a:lnTo>
                  <a:pt x="116509" y="0"/>
                </a:lnTo>
                <a:lnTo>
                  <a:pt x="116509" y="218440"/>
                </a:lnTo>
                <a:lnTo>
                  <a:pt x="123786" y="218440"/>
                </a:lnTo>
                <a:lnTo>
                  <a:pt x="123786" y="0"/>
                </a:lnTo>
                <a:close/>
              </a:path>
              <a:path w="575310" h="218440">
                <a:moveTo>
                  <a:pt x="145630" y="0"/>
                </a:moveTo>
                <a:lnTo>
                  <a:pt x="131064" y="0"/>
                </a:lnTo>
                <a:lnTo>
                  <a:pt x="131064" y="218440"/>
                </a:lnTo>
                <a:lnTo>
                  <a:pt x="145630" y="218440"/>
                </a:lnTo>
                <a:lnTo>
                  <a:pt x="145630" y="0"/>
                </a:lnTo>
                <a:close/>
              </a:path>
              <a:path w="575310" h="218440">
                <a:moveTo>
                  <a:pt x="189318" y="0"/>
                </a:moveTo>
                <a:lnTo>
                  <a:pt x="160197" y="0"/>
                </a:lnTo>
                <a:lnTo>
                  <a:pt x="160197" y="218440"/>
                </a:lnTo>
                <a:lnTo>
                  <a:pt x="189318" y="218440"/>
                </a:lnTo>
                <a:lnTo>
                  <a:pt x="189318" y="0"/>
                </a:lnTo>
                <a:close/>
              </a:path>
              <a:path w="575310" h="218440">
                <a:moveTo>
                  <a:pt x="203885" y="0"/>
                </a:moveTo>
                <a:lnTo>
                  <a:pt x="196608" y="0"/>
                </a:lnTo>
                <a:lnTo>
                  <a:pt x="196608" y="218440"/>
                </a:lnTo>
                <a:lnTo>
                  <a:pt x="203885" y="218440"/>
                </a:lnTo>
                <a:lnTo>
                  <a:pt x="203885" y="0"/>
                </a:lnTo>
                <a:close/>
              </a:path>
              <a:path w="575310" h="218440">
                <a:moveTo>
                  <a:pt x="225729" y="0"/>
                </a:moveTo>
                <a:lnTo>
                  <a:pt x="218452" y="0"/>
                </a:lnTo>
                <a:lnTo>
                  <a:pt x="218452" y="218440"/>
                </a:lnTo>
                <a:lnTo>
                  <a:pt x="225729" y="218440"/>
                </a:lnTo>
                <a:lnTo>
                  <a:pt x="225729" y="0"/>
                </a:lnTo>
                <a:close/>
              </a:path>
              <a:path w="575310" h="218440">
                <a:moveTo>
                  <a:pt x="262140" y="0"/>
                </a:moveTo>
                <a:lnTo>
                  <a:pt x="240296" y="0"/>
                </a:lnTo>
                <a:lnTo>
                  <a:pt x="240296" y="218440"/>
                </a:lnTo>
                <a:lnTo>
                  <a:pt x="262140" y="218440"/>
                </a:lnTo>
                <a:lnTo>
                  <a:pt x="262140" y="0"/>
                </a:lnTo>
                <a:close/>
              </a:path>
              <a:path w="575310" h="218440">
                <a:moveTo>
                  <a:pt x="276694" y="0"/>
                </a:moveTo>
                <a:lnTo>
                  <a:pt x="269417" y="0"/>
                </a:lnTo>
                <a:lnTo>
                  <a:pt x="269417" y="218440"/>
                </a:lnTo>
                <a:lnTo>
                  <a:pt x="276694" y="218440"/>
                </a:lnTo>
                <a:lnTo>
                  <a:pt x="276694" y="0"/>
                </a:lnTo>
                <a:close/>
              </a:path>
              <a:path w="575310" h="218440">
                <a:moveTo>
                  <a:pt x="313105" y="0"/>
                </a:moveTo>
                <a:lnTo>
                  <a:pt x="283984" y="0"/>
                </a:lnTo>
                <a:lnTo>
                  <a:pt x="283984" y="218440"/>
                </a:lnTo>
                <a:lnTo>
                  <a:pt x="313105" y="218440"/>
                </a:lnTo>
                <a:lnTo>
                  <a:pt x="313105" y="0"/>
                </a:lnTo>
                <a:close/>
              </a:path>
              <a:path w="575310" h="218440">
                <a:moveTo>
                  <a:pt x="342239" y="0"/>
                </a:moveTo>
                <a:lnTo>
                  <a:pt x="320382" y="0"/>
                </a:lnTo>
                <a:lnTo>
                  <a:pt x="320382" y="218440"/>
                </a:lnTo>
                <a:lnTo>
                  <a:pt x="342239" y="218440"/>
                </a:lnTo>
                <a:lnTo>
                  <a:pt x="342239" y="0"/>
                </a:lnTo>
                <a:close/>
              </a:path>
              <a:path w="575310" h="218440">
                <a:moveTo>
                  <a:pt x="364083" y="0"/>
                </a:moveTo>
                <a:lnTo>
                  <a:pt x="349516" y="0"/>
                </a:lnTo>
                <a:lnTo>
                  <a:pt x="349516" y="218440"/>
                </a:lnTo>
                <a:lnTo>
                  <a:pt x="364083" y="218440"/>
                </a:lnTo>
                <a:lnTo>
                  <a:pt x="364083" y="0"/>
                </a:lnTo>
                <a:close/>
              </a:path>
              <a:path w="575310" h="218440">
                <a:moveTo>
                  <a:pt x="393204" y="0"/>
                </a:moveTo>
                <a:lnTo>
                  <a:pt x="371360" y="0"/>
                </a:lnTo>
                <a:lnTo>
                  <a:pt x="371360" y="218440"/>
                </a:lnTo>
                <a:lnTo>
                  <a:pt x="393204" y="218440"/>
                </a:lnTo>
                <a:lnTo>
                  <a:pt x="393204" y="0"/>
                </a:lnTo>
                <a:close/>
              </a:path>
              <a:path w="575310" h="218440">
                <a:moveTo>
                  <a:pt x="407771" y="0"/>
                </a:moveTo>
                <a:lnTo>
                  <a:pt x="400481" y="0"/>
                </a:lnTo>
                <a:lnTo>
                  <a:pt x="400481" y="218440"/>
                </a:lnTo>
                <a:lnTo>
                  <a:pt x="407771" y="218440"/>
                </a:lnTo>
                <a:lnTo>
                  <a:pt x="407771" y="0"/>
                </a:lnTo>
                <a:close/>
              </a:path>
              <a:path w="575310" h="218440">
                <a:moveTo>
                  <a:pt x="458736" y="0"/>
                </a:moveTo>
                <a:lnTo>
                  <a:pt x="429615" y="0"/>
                </a:lnTo>
                <a:lnTo>
                  <a:pt x="429615" y="218440"/>
                </a:lnTo>
                <a:lnTo>
                  <a:pt x="458736" y="218440"/>
                </a:lnTo>
                <a:lnTo>
                  <a:pt x="458736" y="0"/>
                </a:lnTo>
                <a:close/>
              </a:path>
              <a:path w="575310" h="218440">
                <a:moveTo>
                  <a:pt x="473303" y="0"/>
                </a:moveTo>
                <a:lnTo>
                  <a:pt x="466013" y="0"/>
                </a:lnTo>
                <a:lnTo>
                  <a:pt x="466013" y="218440"/>
                </a:lnTo>
                <a:lnTo>
                  <a:pt x="473303" y="218440"/>
                </a:lnTo>
                <a:lnTo>
                  <a:pt x="473303" y="0"/>
                </a:lnTo>
                <a:close/>
              </a:path>
              <a:path w="575310" h="218440">
                <a:moveTo>
                  <a:pt x="495147" y="0"/>
                </a:moveTo>
                <a:lnTo>
                  <a:pt x="480580" y="0"/>
                </a:lnTo>
                <a:lnTo>
                  <a:pt x="480580" y="218440"/>
                </a:lnTo>
                <a:lnTo>
                  <a:pt x="495147" y="218440"/>
                </a:lnTo>
                <a:lnTo>
                  <a:pt x="495147" y="0"/>
                </a:lnTo>
                <a:close/>
              </a:path>
              <a:path w="575310" h="218440">
                <a:moveTo>
                  <a:pt x="538835" y="0"/>
                </a:moveTo>
                <a:lnTo>
                  <a:pt x="516991" y="0"/>
                </a:lnTo>
                <a:lnTo>
                  <a:pt x="516991" y="218440"/>
                </a:lnTo>
                <a:lnTo>
                  <a:pt x="538835" y="218440"/>
                </a:lnTo>
                <a:lnTo>
                  <a:pt x="538835" y="0"/>
                </a:lnTo>
                <a:close/>
              </a:path>
              <a:path w="575310" h="218440">
                <a:moveTo>
                  <a:pt x="553402" y="0"/>
                </a:moveTo>
                <a:lnTo>
                  <a:pt x="546112" y="0"/>
                </a:lnTo>
                <a:lnTo>
                  <a:pt x="546112" y="218440"/>
                </a:lnTo>
                <a:lnTo>
                  <a:pt x="553402" y="218440"/>
                </a:lnTo>
                <a:lnTo>
                  <a:pt x="553402" y="0"/>
                </a:lnTo>
                <a:close/>
              </a:path>
              <a:path w="575310" h="218440">
                <a:moveTo>
                  <a:pt x="575246" y="0"/>
                </a:moveTo>
                <a:lnTo>
                  <a:pt x="560679" y="0"/>
                </a:lnTo>
                <a:lnTo>
                  <a:pt x="560679" y="218440"/>
                </a:lnTo>
                <a:lnTo>
                  <a:pt x="575246" y="218440"/>
                </a:lnTo>
                <a:lnTo>
                  <a:pt x="575246" y="0"/>
                </a:lnTo>
                <a:close/>
              </a:path>
            </a:pathLst>
          </a:custGeom>
          <a:solidFill>
            <a:srgbClr val="000000"/>
          </a:solidFill>
        </xdr:spPr>
        <xdr:txBody>
          <a:bodyPr wrap="square">
            <a:prstTxWarp prst="textNoShape">
              <a:avLst/>
            </a:prstTxWarp>
          </a:bodyPr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211733</xdr:colOff>
      <xdr:row>1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8DA9FD-B69B-4E6B-A997-7D351282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297583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47070</xdr:colOff>
      <xdr:row>3</xdr:row>
      <xdr:rowOff>66119</xdr:rowOff>
    </xdr:from>
    <xdr:to>
      <xdr:col>3</xdr:col>
      <xdr:colOff>357182</xdr:colOff>
      <xdr:row>4</xdr:row>
      <xdr:rowOff>171450</xdr:rowOff>
    </xdr:to>
    <xdr:sp macro="" textlink="">
      <xdr:nvSpPr>
        <xdr:cNvPr id="5" name="Graphic 2" descr="Magnifying glass with solid fill">
          <a:extLst>
            <a:ext uri="{FF2B5EF4-FFF2-40B4-BE49-F238E27FC236}">
              <a16:creationId xmlns:a16="http://schemas.microsoft.com/office/drawing/2014/main" id="{A0C4F4BD-D0E7-4349-B755-F7575406A8C8}"/>
            </a:ext>
          </a:extLst>
        </xdr:cNvPr>
        <xdr:cNvSpPr/>
      </xdr:nvSpPr>
      <xdr:spPr>
        <a:xfrm>
          <a:off x="1875870" y="637619"/>
          <a:ext cx="310112" cy="333931"/>
        </a:xfrm>
        <a:custGeom>
          <a:avLst/>
          <a:gdLst>
            <a:gd name="connsiteX0" fmla="*/ 335717 w 344612"/>
            <a:gd name="connsiteY0" fmla="*/ 292497 h 344884"/>
            <a:gd name="connsiteX1" fmla="*/ 281146 w 344612"/>
            <a:gd name="connsiteY1" fmla="*/ 237927 h 344884"/>
            <a:gd name="connsiteX2" fmla="*/ 254079 w 344612"/>
            <a:gd name="connsiteY2" fmla="*/ 229632 h 344884"/>
            <a:gd name="connsiteX3" fmla="*/ 234871 w 344612"/>
            <a:gd name="connsiteY3" fmla="*/ 210423 h 344884"/>
            <a:gd name="connsiteX4" fmla="*/ 261937 w 344612"/>
            <a:gd name="connsiteY4" fmla="*/ 130969 h 344884"/>
            <a:gd name="connsiteX5" fmla="*/ 130969 w 344612"/>
            <a:gd name="connsiteY5" fmla="*/ 0 h 344884"/>
            <a:gd name="connsiteX6" fmla="*/ 0 w 344612"/>
            <a:gd name="connsiteY6" fmla="*/ 130969 h 344884"/>
            <a:gd name="connsiteX7" fmla="*/ 130969 w 344612"/>
            <a:gd name="connsiteY7" fmla="*/ 261937 h 344884"/>
            <a:gd name="connsiteX8" fmla="*/ 210423 w 344612"/>
            <a:gd name="connsiteY8" fmla="*/ 234871 h 344884"/>
            <a:gd name="connsiteX9" fmla="*/ 229632 w 344612"/>
            <a:gd name="connsiteY9" fmla="*/ 254079 h 344884"/>
            <a:gd name="connsiteX10" fmla="*/ 237927 w 344612"/>
            <a:gd name="connsiteY10" fmla="*/ 281146 h 344884"/>
            <a:gd name="connsiteX11" fmla="*/ 292497 w 344612"/>
            <a:gd name="connsiteY11" fmla="*/ 335717 h 344884"/>
            <a:gd name="connsiteX12" fmla="*/ 314325 w 344612"/>
            <a:gd name="connsiteY12" fmla="*/ 344884 h 344884"/>
            <a:gd name="connsiteX13" fmla="*/ 336153 w 344612"/>
            <a:gd name="connsiteY13" fmla="*/ 335717 h 344884"/>
            <a:gd name="connsiteX14" fmla="*/ 335717 w 344612"/>
            <a:gd name="connsiteY14" fmla="*/ 292497 h 344884"/>
            <a:gd name="connsiteX15" fmla="*/ 130532 w 344612"/>
            <a:gd name="connsiteY15" fmla="*/ 235307 h 344884"/>
            <a:gd name="connsiteX16" fmla="*/ 25757 w 344612"/>
            <a:gd name="connsiteY16" fmla="*/ 130532 h 344884"/>
            <a:gd name="connsiteX17" fmla="*/ 130532 w 344612"/>
            <a:gd name="connsiteY17" fmla="*/ 25757 h 344884"/>
            <a:gd name="connsiteX18" fmla="*/ 235307 w 344612"/>
            <a:gd name="connsiteY18" fmla="*/ 130532 h 344884"/>
            <a:gd name="connsiteX19" fmla="*/ 130532 w 344612"/>
            <a:gd name="connsiteY19" fmla="*/ 235307 h 34488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344612" h="344884">
              <a:moveTo>
                <a:pt x="335717" y="292497"/>
              </a:moveTo>
              <a:lnTo>
                <a:pt x="281146" y="237927"/>
              </a:lnTo>
              <a:cubicBezTo>
                <a:pt x="273725" y="230505"/>
                <a:pt x="263684" y="227886"/>
                <a:pt x="254079" y="229632"/>
              </a:cubicBezTo>
              <a:lnTo>
                <a:pt x="234871" y="210423"/>
              </a:lnTo>
              <a:cubicBezTo>
                <a:pt x="251897" y="188595"/>
                <a:pt x="261937" y="160655"/>
                <a:pt x="261937" y="130969"/>
              </a:cubicBezTo>
              <a:cubicBezTo>
                <a:pt x="261937" y="58936"/>
                <a:pt x="203002" y="0"/>
                <a:pt x="130969" y="0"/>
              </a:cubicBezTo>
              <a:cubicBezTo>
                <a:pt x="58936" y="0"/>
                <a:pt x="0" y="58936"/>
                <a:pt x="0" y="130969"/>
              </a:cubicBezTo>
              <a:cubicBezTo>
                <a:pt x="0" y="203002"/>
                <a:pt x="58936" y="261937"/>
                <a:pt x="130969" y="261937"/>
              </a:cubicBezTo>
              <a:cubicBezTo>
                <a:pt x="160655" y="261937"/>
                <a:pt x="188158" y="251897"/>
                <a:pt x="210423" y="234871"/>
              </a:cubicBezTo>
              <a:lnTo>
                <a:pt x="229632" y="254079"/>
              </a:lnTo>
              <a:cubicBezTo>
                <a:pt x="227886" y="263684"/>
                <a:pt x="230505" y="273725"/>
                <a:pt x="237927" y="281146"/>
              </a:cubicBezTo>
              <a:lnTo>
                <a:pt x="292497" y="335717"/>
              </a:lnTo>
              <a:cubicBezTo>
                <a:pt x="298609" y="341828"/>
                <a:pt x="306467" y="344884"/>
                <a:pt x="314325" y="344884"/>
              </a:cubicBezTo>
              <a:cubicBezTo>
                <a:pt x="322183" y="344884"/>
                <a:pt x="330041" y="341828"/>
                <a:pt x="336153" y="335717"/>
              </a:cubicBezTo>
              <a:cubicBezTo>
                <a:pt x="347504" y="323493"/>
                <a:pt x="347504" y="304284"/>
                <a:pt x="335717" y="292497"/>
              </a:cubicBezTo>
              <a:close/>
              <a:moveTo>
                <a:pt x="130532" y="235307"/>
              </a:moveTo>
              <a:cubicBezTo>
                <a:pt x="72906" y="235307"/>
                <a:pt x="25757" y="188158"/>
                <a:pt x="25757" y="130532"/>
              </a:cubicBezTo>
              <a:cubicBezTo>
                <a:pt x="25757" y="72906"/>
                <a:pt x="72906" y="25757"/>
                <a:pt x="130532" y="25757"/>
              </a:cubicBezTo>
              <a:cubicBezTo>
                <a:pt x="188158" y="25757"/>
                <a:pt x="235307" y="72906"/>
                <a:pt x="235307" y="130532"/>
              </a:cubicBezTo>
              <a:cubicBezTo>
                <a:pt x="235307" y="188158"/>
                <a:pt x="188158" y="235307"/>
                <a:pt x="130532" y="235307"/>
              </a:cubicBezTo>
              <a:close/>
            </a:path>
          </a:pathLst>
        </a:custGeom>
        <a:solidFill>
          <a:srgbClr val="000000"/>
        </a:solidFill>
        <a:ln w="4366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581025</xdr:colOff>
      <xdr:row>0</xdr:row>
      <xdr:rowOff>0</xdr:rowOff>
    </xdr:from>
    <xdr:to>
      <xdr:col>2</xdr:col>
      <xdr:colOff>552450</xdr:colOff>
      <xdr:row>7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EAFC6A-5547-4583-AEF1-2B2B6813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0"/>
          <a:ext cx="1190625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F9B-7B64-460D-8F4B-ED4F4F73CB58}">
  <sheetPr>
    <pageSetUpPr fitToPage="1"/>
  </sheetPr>
  <dimension ref="A1:G49"/>
  <sheetViews>
    <sheetView tabSelected="1" topLeftCell="A10" workbookViewId="0">
      <selection activeCell="I12" sqref="I12"/>
    </sheetView>
  </sheetViews>
  <sheetFormatPr defaultRowHeight="15" x14ac:dyDescent="0.25"/>
  <cols>
    <col min="1" max="1" width="16.42578125" style="30" bestFit="1" customWidth="1"/>
    <col min="2" max="2" width="40" style="30" customWidth="1"/>
    <col min="3" max="3" width="15" style="31" customWidth="1"/>
    <col min="4" max="4" width="18.42578125" style="30" bestFit="1" customWidth="1"/>
    <col min="5" max="5" width="26.85546875" style="31" bestFit="1" customWidth="1"/>
    <col min="6" max="16384" width="9.140625" style="30"/>
  </cols>
  <sheetData>
    <row r="1" spans="1:5" ht="26.25" customHeight="1" x14ac:dyDescent="0.45">
      <c r="A1" s="63" t="s">
        <v>270</v>
      </c>
      <c r="B1" s="64"/>
      <c r="C1" s="64"/>
      <c r="D1" s="64"/>
      <c r="E1" s="64"/>
    </row>
    <row r="2" spans="1:5" ht="18.75" x14ac:dyDescent="0.25">
      <c r="A2" s="65" t="s">
        <v>245</v>
      </c>
      <c r="B2" s="65"/>
      <c r="C2" s="65"/>
      <c r="D2" s="65"/>
      <c r="E2" s="65"/>
    </row>
    <row r="3" spans="1:5" ht="19.5" thickBot="1" x14ac:dyDescent="0.35">
      <c r="A3" s="66"/>
      <c r="B3" s="67"/>
      <c r="C3" s="67"/>
      <c r="D3" s="67"/>
      <c r="E3" s="67"/>
    </row>
    <row r="5" spans="1:5" ht="16.5" x14ac:dyDescent="0.25">
      <c r="A5" s="32" t="s">
        <v>246</v>
      </c>
      <c r="B5" s="33">
        <v>24865</v>
      </c>
      <c r="C5" s="34"/>
      <c r="D5" s="32" t="s">
        <v>247</v>
      </c>
      <c r="E5" s="35"/>
    </row>
    <row r="6" spans="1:5" ht="16.5" x14ac:dyDescent="0.25">
      <c r="A6" s="36"/>
      <c r="B6" s="33"/>
      <c r="C6" s="34"/>
      <c r="D6" s="37" t="s">
        <v>248</v>
      </c>
      <c r="E6" s="38" t="s">
        <v>278</v>
      </c>
    </row>
    <row r="7" spans="1:5" ht="16.5" x14ac:dyDescent="0.25">
      <c r="A7" s="32" t="s">
        <v>249</v>
      </c>
      <c r="B7" s="39" t="s">
        <v>250</v>
      </c>
      <c r="C7" s="34"/>
      <c r="D7" s="32" t="s">
        <v>251</v>
      </c>
      <c r="E7" s="35" t="s">
        <v>279</v>
      </c>
    </row>
    <row r="8" spans="1:5" ht="16.5" x14ac:dyDescent="0.25">
      <c r="A8" s="32" t="s">
        <v>252</v>
      </c>
      <c r="B8" s="40">
        <v>46216</v>
      </c>
      <c r="C8" s="34"/>
      <c r="D8" s="32" t="s">
        <v>253</v>
      </c>
      <c r="E8" s="41">
        <v>1714510583</v>
      </c>
    </row>
    <row r="9" spans="1:5" ht="16.5" x14ac:dyDescent="0.25">
      <c r="A9" s="32" t="s">
        <v>254</v>
      </c>
      <c r="B9" s="35">
        <v>45863</v>
      </c>
      <c r="C9" s="34"/>
      <c r="D9" s="32" t="s">
        <v>255</v>
      </c>
      <c r="E9" s="35"/>
    </row>
    <row r="10" spans="1:5" ht="16.5" x14ac:dyDescent="0.25">
      <c r="A10" s="36"/>
      <c r="B10" s="39"/>
      <c r="C10" s="34"/>
      <c r="D10" s="42"/>
    </row>
    <row r="11" spans="1:5" ht="16.5" x14ac:dyDescent="0.25">
      <c r="A11" s="32" t="s">
        <v>256</v>
      </c>
      <c r="B11" s="39" t="s">
        <v>276</v>
      </c>
      <c r="D11" s="42"/>
    </row>
    <row r="13" spans="1:5" ht="16.5" x14ac:dyDescent="0.25">
      <c r="A13" s="49" t="s">
        <v>257</v>
      </c>
      <c r="B13" s="49" t="s">
        <v>258</v>
      </c>
      <c r="C13" s="49" t="s">
        <v>259</v>
      </c>
      <c r="D13" s="49" t="s">
        <v>260</v>
      </c>
      <c r="E13" s="49" t="s">
        <v>261</v>
      </c>
    </row>
    <row r="14" spans="1:5" ht="15.75" x14ac:dyDescent="0.25">
      <c r="A14" s="50">
        <v>1</v>
      </c>
      <c r="B14" s="51" t="s">
        <v>197</v>
      </c>
      <c r="C14" s="52">
        <v>1</v>
      </c>
      <c r="D14" s="53">
        <v>3375</v>
      </c>
      <c r="E14" s="54">
        <f>IF(OR(C14="", D14=""), "", C14*D14)</f>
        <v>3375</v>
      </c>
    </row>
    <row r="15" spans="1:5" ht="15.75" hidden="1" x14ac:dyDescent="0.25">
      <c r="A15" s="50"/>
      <c r="B15" s="51"/>
      <c r="C15" s="52"/>
      <c r="D15" s="53"/>
      <c r="E15" s="54" t="str">
        <f t="shared" ref="E15:E35" si="0">IF(OR(C15="", D15=""), "", C15*D15)</f>
        <v/>
      </c>
    </row>
    <row r="16" spans="1:5" ht="15.75" hidden="1" x14ac:dyDescent="0.25">
      <c r="A16" s="50"/>
      <c r="B16" s="51"/>
      <c r="C16" s="52"/>
      <c r="D16" s="53"/>
      <c r="E16" s="54" t="str">
        <f t="shared" si="0"/>
        <v/>
      </c>
    </row>
    <row r="17" spans="1:5" ht="15.75" hidden="1" x14ac:dyDescent="0.25">
      <c r="A17" s="50"/>
      <c r="B17" s="51"/>
      <c r="C17" s="52"/>
      <c r="D17" s="53"/>
      <c r="E17" s="54" t="str">
        <f t="shared" si="0"/>
        <v/>
      </c>
    </row>
    <row r="18" spans="1:5" ht="15.75" hidden="1" x14ac:dyDescent="0.25">
      <c r="A18" s="50"/>
      <c r="B18" s="51"/>
      <c r="C18" s="52"/>
      <c r="D18" s="53"/>
      <c r="E18" s="54" t="str">
        <f t="shared" si="0"/>
        <v/>
      </c>
    </row>
    <row r="19" spans="1:5" ht="15.75" hidden="1" x14ac:dyDescent="0.25">
      <c r="A19" s="50"/>
      <c r="B19" s="51"/>
      <c r="C19" s="52"/>
      <c r="D19" s="53"/>
      <c r="E19" s="54" t="str">
        <f t="shared" si="0"/>
        <v/>
      </c>
    </row>
    <row r="20" spans="1:5" ht="15.75" x14ac:dyDescent="0.25">
      <c r="A20" s="50">
        <v>2</v>
      </c>
      <c r="B20" s="51" t="s">
        <v>280</v>
      </c>
      <c r="C20" s="52">
        <v>1</v>
      </c>
      <c r="D20" s="53">
        <v>0</v>
      </c>
      <c r="E20" s="54">
        <f t="shared" si="0"/>
        <v>0</v>
      </c>
    </row>
    <row r="21" spans="1:5" ht="15.75" x14ac:dyDescent="0.25">
      <c r="A21" s="50">
        <v>3</v>
      </c>
      <c r="B21" s="51" t="s">
        <v>281</v>
      </c>
      <c r="C21" s="52">
        <v>1</v>
      </c>
      <c r="D21" s="53">
        <v>0</v>
      </c>
      <c r="E21" s="54">
        <f t="shared" si="0"/>
        <v>0</v>
      </c>
    </row>
    <row r="22" spans="1:5" ht="15.75" hidden="1" x14ac:dyDescent="0.25">
      <c r="A22" s="50"/>
      <c r="B22" s="51"/>
      <c r="C22" s="52"/>
      <c r="D22" s="53"/>
      <c r="E22" s="54" t="str">
        <f t="shared" si="0"/>
        <v/>
      </c>
    </row>
    <row r="23" spans="1:5" ht="15.75" hidden="1" x14ac:dyDescent="0.25">
      <c r="A23" s="50"/>
      <c r="B23" s="51"/>
      <c r="C23" s="52"/>
      <c r="D23" s="53"/>
      <c r="E23" s="54" t="str">
        <f t="shared" si="0"/>
        <v/>
      </c>
    </row>
    <row r="24" spans="1:5" ht="15.75" hidden="1" x14ac:dyDescent="0.25">
      <c r="A24" s="50"/>
      <c r="B24" s="51"/>
      <c r="C24" s="52"/>
      <c r="D24" s="53"/>
      <c r="E24" s="54" t="str">
        <f t="shared" si="0"/>
        <v/>
      </c>
    </row>
    <row r="25" spans="1:5" ht="15.75" hidden="1" x14ac:dyDescent="0.25">
      <c r="A25" s="50"/>
      <c r="B25" s="51"/>
      <c r="C25" s="52"/>
      <c r="D25" s="53"/>
      <c r="E25" s="54" t="str">
        <f t="shared" si="0"/>
        <v/>
      </c>
    </row>
    <row r="26" spans="1:5" ht="15.75" hidden="1" x14ac:dyDescent="0.25">
      <c r="A26" s="50"/>
      <c r="B26" s="51"/>
      <c r="C26" s="52"/>
      <c r="D26" s="53"/>
      <c r="E26" s="54" t="str">
        <f t="shared" si="0"/>
        <v/>
      </c>
    </row>
    <row r="27" spans="1:5" ht="15.75" hidden="1" x14ac:dyDescent="0.25">
      <c r="A27" s="50"/>
      <c r="B27" s="51"/>
      <c r="C27" s="52"/>
      <c r="D27" s="53"/>
      <c r="E27" s="54" t="str">
        <f t="shared" si="0"/>
        <v/>
      </c>
    </row>
    <row r="28" spans="1:5" ht="15.75" hidden="1" x14ac:dyDescent="0.25">
      <c r="A28" s="50"/>
      <c r="B28" s="51"/>
      <c r="C28" s="52"/>
      <c r="D28" s="53"/>
      <c r="E28" s="54" t="str">
        <f t="shared" si="0"/>
        <v/>
      </c>
    </row>
    <row r="29" spans="1:5" ht="15.75" hidden="1" x14ac:dyDescent="0.25">
      <c r="A29" s="50"/>
      <c r="B29" s="51"/>
      <c r="C29" s="52"/>
      <c r="D29" s="53"/>
      <c r="E29" s="54" t="str">
        <f t="shared" si="0"/>
        <v/>
      </c>
    </row>
    <row r="30" spans="1:5" ht="15.75" x14ac:dyDescent="0.25">
      <c r="A30" s="50"/>
      <c r="B30" s="51"/>
      <c r="C30" s="52"/>
      <c r="D30" s="53"/>
      <c r="E30" s="54" t="str">
        <f t="shared" si="0"/>
        <v/>
      </c>
    </row>
    <row r="31" spans="1:5" ht="15.75" x14ac:dyDescent="0.25">
      <c r="A31" s="50"/>
      <c r="B31" s="51"/>
      <c r="C31" s="52"/>
      <c r="D31" s="53"/>
      <c r="E31" s="54" t="str">
        <f t="shared" si="0"/>
        <v/>
      </c>
    </row>
    <row r="32" spans="1:5" ht="15.75" x14ac:dyDescent="0.25">
      <c r="A32" s="50"/>
      <c r="B32" s="51"/>
      <c r="C32" s="52"/>
      <c r="D32" s="53"/>
      <c r="E32" s="54" t="str">
        <f t="shared" si="0"/>
        <v/>
      </c>
    </row>
    <row r="33" spans="1:7" ht="15.75" x14ac:dyDescent="0.25">
      <c r="A33" s="50"/>
      <c r="B33" s="51"/>
      <c r="C33" s="52"/>
      <c r="D33" s="53"/>
      <c r="E33" s="54" t="str">
        <f t="shared" si="0"/>
        <v/>
      </c>
    </row>
    <row r="34" spans="1:7" ht="15.75" x14ac:dyDescent="0.25">
      <c r="A34" s="50"/>
      <c r="B34" s="51"/>
      <c r="C34" s="52"/>
      <c r="D34" s="53"/>
      <c r="E34" s="54" t="str">
        <f t="shared" si="0"/>
        <v/>
      </c>
    </row>
    <row r="35" spans="1:7" ht="15.75" x14ac:dyDescent="0.25">
      <c r="A35" s="50"/>
      <c r="B35" s="51"/>
      <c r="C35" s="52"/>
      <c r="D35" s="53"/>
      <c r="E35" s="54" t="str">
        <f t="shared" si="0"/>
        <v/>
      </c>
    </row>
    <row r="36" spans="1:7" ht="16.5" x14ac:dyDescent="0.25">
      <c r="A36" s="55" t="s">
        <v>262</v>
      </c>
      <c r="B36" s="68">
        <f>SUM(C14:C35)</f>
        <v>3</v>
      </c>
      <c r="C36" s="68"/>
      <c r="D36" s="56"/>
      <c r="E36" s="57">
        <f>SUM(E14:E35)</f>
        <v>3375</v>
      </c>
    </row>
    <row r="37" spans="1:7" ht="16.5" hidden="1" x14ac:dyDescent="0.25">
      <c r="A37" s="58" t="s">
        <v>277</v>
      </c>
      <c r="B37" s="61" t="s">
        <v>264</v>
      </c>
      <c r="C37" s="61"/>
      <c r="D37" s="58"/>
      <c r="E37" s="59">
        <f>E36*(D37/E36)</f>
        <v>0</v>
      </c>
    </row>
    <row r="38" spans="1:7" ht="16.5" hidden="1" x14ac:dyDescent="0.25">
      <c r="A38" s="58" t="s">
        <v>263</v>
      </c>
      <c r="B38" s="61" t="s">
        <v>264</v>
      </c>
      <c r="C38" s="61"/>
      <c r="D38" s="58"/>
      <c r="E38" s="59">
        <f>(E36-E37)*(D38/100)</f>
        <v>0</v>
      </c>
      <c r="G38" s="60"/>
    </row>
    <row r="39" spans="1:7" ht="16.5" hidden="1" x14ac:dyDescent="0.25">
      <c r="A39" s="58" t="s">
        <v>263</v>
      </c>
      <c r="B39" s="61" t="s">
        <v>264</v>
      </c>
      <c r="C39" s="61"/>
      <c r="D39" s="58"/>
      <c r="E39" s="59">
        <f>(E36-E37-E38)*(D39/100)</f>
        <v>0</v>
      </c>
    </row>
    <row r="40" spans="1:7" ht="16.5" x14ac:dyDescent="0.25">
      <c r="A40" s="55" t="s">
        <v>265</v>
      </c>
      <c r="B40" s="62">
        <f>E36-E37-E38-E39</f>
        <v>3375</v>
      </c>
      <c r="C40" s="62"/>
      <c r="D40" s="62"/>
      <c r="E40" s="62"/>
    </row>
    <row r="44" spans="1:7" ht="16.5" x14ac:dyDescent="0.25">
      <c r="A44" s="32" t="s">
        <v>266</v>
      </c>
      <c r="B44" s="32" t="s">
        <v>267</v>
      </c>
      <c r="C44" s="43"/>
      <c r="D44" s="32" t="s">
        <v>268</v>
      </c>
      <c r="E44" s="44" t="s">
        <v>269</v>
      </c>
    </row>
    <row r="47" spans="1:7" ht="18.75" x14ac:dyDescent="0.3">
      <c r="A47" s="47"/>
      <c r="B47" s="48"/>
      <c r="C47" s="48"/>
      <c r="D47" s="48"/>
      <c r="E47" s="48"/>
    </row>
    <row r="48" spans="1:7" ht="18.75" x14ac:dyDescent="0.25">
      <c r="A48" s="47"/>
      <c r="B48" s="47"/>
      <c r="C48" s="47"/>
      <c r="D48" s="47"/>
      <c r="E48" s="47"/>
    </row>
    <row r="49" spans="1:5" ht="18.75" x14ac:dyDescent="0.3">
      <c r="A49" s="47"/>
      <c r="B49" s="48"/>
      <c r="C49" s="48"/>
      <c r="D49" s="48"/>
      <c r="E49" s="48"/>
    </row>
  </sheetData>
  <mergeCells count="8">
    <mergeCell ref="B39:C39"/>
    <mergeCell ref="B40:E40"/>
    <mergeCell ref="A1:E1"/>
    <mergeCell ref="A2:E2"/>
    <mergeCell ref="A3:E3"/>
    <mergeCell ref="B36:C36"/>
    <mergeCell ref="B37:C37"/>
    <mergeCell ref="B38:C38"/>
  </mergeCells>
  <dataValidations count="1">
    <dataValidation type="date" allowBlank="1" showInputMessage="1" showErrorMessage="1" sqref="B8" xr:uid="{63D078DA-16D8-4D62-8D52-50ED6C9E9076}">
      <formula1>45658</formula1>
      <formula2>47484</formula2>
    </dataValidation>
  </dataValidations>
  <pageMargins left="0.7" right="0.7" top="0.75" bottom="0.75" header="0.3" footer="0.3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011-B6FB-4981-9EA1-7352D05ED9FA}">
  <dimension ref="D1:I774"/>
  <sheetViews>
    <sheetView showGridLines="0" showZeros="0" workbookViewId="0">
      <selection activeCell="F11" sqref="F11"/>
    </sheetView>
  </sheetViews>
  <sheetFormatPr defaultRowHeight="15" x14ac:dyDescent="0.25"/>
  <cols>
    <col min="1" max="3" width="9.140625" style="3"/>
    <col min="4" max="4" width="8.85546875" style="3" bestFit="1" customWidth="1"/>
    <col min="5" max="5" width="9.5703125" style="3" bestFit="1" customWidth="1"/>
    <col min="6" max="6" width="30" style="3" customWidth="1"/>
    <col min="7" max="7" width="8" style="3" bestFit="1" customWidth="1"/>
    <col min="8" max="8" width="5" style="3" bestFit="1" customWidth="1"/>
    <col min="9" max="9" width="7.85546875" style="3" bestFit="1" customWidth="1"/>
    <col min="10" max="16384" width="9.140625" style="3"/>
  </cols>
  <sheetData>
    <row r="1" spans="4:9" ht="15" customHeight="1" x14ac:dyDescent="0.25"/>
    <row r="2" spans="4:9" ht="15" customHeight="1" x14ac:dyDescent="0.25"/>
    <row r="3" spans="4:9" ht="15" customHeight="1" x14ac:dyDescent="0.25"/>
    <row r="4" spans="4:9" ht="18" customHeight="1" x14ac:dyDescent="0.25">
      <c r="D4" s="70" t="s">
        <v>220</v>
      </c>
      <c r="E4" s="71"/>
      <c r="F4" s="69" t="s">
        <v>216</v>
      </c>
    </row>
    <row r="5" spans="4:9" ht="14.25" customHeight="1" x14ac:dyDescent="0.25">
      <c r="D5" s="72"/>
      <c r="E5" s="73"/>
      <c r="F5" s="69"/>
    </row>
    <row r="8" spans="4:9" ht="21" x14ac:dyDescent="0.25">
      <c r="D8" s="4" t="s">
        <v>204</v>
      </c>
      <c r="E8" s="4" t="s">
        <v>34</v>
      </c>
      <c r="F8" s="4" t="s">
        <v>219</v>
      </c>
      <c r="G8" s="4" t="s">
        <v>8</v>
      </c>
      <c r="H8" s="4" t="s">
        <v>1</v>
      </c>
      <c r="I8" s="2" t="s">
        <v>5</v>
      </c>
    </row>
    <row r="9" spans="4:9" x14ac:dyDescent="0.25">
      <c r="D9" s="3" t="str" cm="1">
        <f t="array" ref="D9:H12">_xlfn._xlws.FILTER(Sheet1!B2:F512, TRIM(Sheet1!B2:B512) = TRIM(F4))</f>
        <v>K/Y</v>
      </c>
      <c r="E9" s="3" t="str">
        <v>HE18-08</v>
      </c>
      <c r="F9" s="3" t="str">
        <v>Glass Electric Kettle</v>
      </c>
      <c r="G9" s="3">
        <v>1.8</v>
      </c>
      <c r="H9" s="3">
        <v>1300</v>
      </c>
      <c r="I9" s="3" cm="1">
        <f t="array" ref="I9">IFERROR(IF(E9="", "", INDEX(Sheet1!$G:$J, MATCH(E9, Sheet1!$C:$C, 0), IF(COUNTIF(Sheet1!$G:$G, $I$8)&gt;0, 1, IF(COUNTIF(Sheet1!$H:$H, $I$8)&gt;0, 2, IF(COUNTIF(Sheet1!$I:$I, $I$8)&gt;0, 3, IF(COUNTIF(Sheet1!$J:$J, $I$8)&gt;0, 4, 0)))))), "")</f>
        <v>1144</v>
      </c>
    </row>
    <row r="10" spans="4:9" x14ac:dyDescent="0.25">
      <c r="D10" s="3" t="str">
        <v>K/Y</v>
      </c>
      <c r="E10" s="3" t="str">
        <v>HS18-07</v>
      </c>
      <c r="F10" s="3" t="str">
        <v>PL Electric Kettle</v>
      </c>
      <c r="G10" s="3">
        <v>1.8</v>
      </c>
      <c r="H10" s="3">
        <v>950</v>
      </c>
      <c r="I10" s="3" cm="1">
        <f t="array" ref="I10">IFERROR(IF(E10="", "", INDEX(Sheet1!$G:$J, MATCH(E10, Sheet1!$C:$C, 0), IF(COUNTIF(Sheet1!$G:$G, $I$8)&gt;0, 1, IF(COUNTIF(Sheet1!$H:$H, $I$8)&gt;0, 2, IF(COUNTIF(Sheet1!$I:$I, $I$8)&gt;0, 3, IF(COUNTIF(Sheet1!$J:$J, $I$8)&gt;0, 4, 0)))))), "")</f>
        <v>836</v>
      </c>
    </row>
    <row r="11" spans="4:9" x14ac:dyDescent="0.25">
      <c r="D11" s="3" t="str">
        <v>K/Y</v>
      </c>
      <c r="E11" s="3" t="str">
        <v>HS18-05</v>
      </c>
      <c r="F11" s="3" t="str">
        <v>SS Electric Kettle</v>
      </c>
      <c r="G11" s="3">
        <v>1.8</v>
      </c>
      <c r="H11" s="3">
        <v>835</v>
      </c>
      <c r="I11" s="3" cm="1">
        <f t="array" ref="I11">IFERROR(IF(E11="", "", INDEX(Sheet1!$G:$J, MATCH(E11, Sheet1!$C:$C, 0), IF(COUNTIF(Sheet1!$G:$G, $I$8)&gt;0, 1, IF(COUNTIF(Sheet1!$H:$H, $I$8)&gt;0, 2, IF(COUNTIF(Sheet1!$I:$I, $I$8)&gt;0, 3, IF(COUNTIF(Sheet1!$J:$J, $I$8)&gt;0, 4, 0)))))), "")</f>
        <v>734.8</v>
      </c>
    </row>
    <row r="12" spans="4:9" x14ac:dyDescent="0.25">
      <c r="D12" s="3" t="str">
        <v>K/Y</v>
      </c>
      <c r="E12" s="3" t="str">
        <v>HS18-06</v>
      </c>
      <c r="F12" s="3" t="str">
        <v>SS Electric Kettle</v>
      </c>
      <c r="G12" s="3">
        <v>2.2000000000000002</v>
      </c>
      <c r="H12" s="3">
        <v>950</v>
      </c>
      <c r="I12" s="3" cm="1">
        <f t="array" ref="I12">IFERROR(IF(E12="", "", INDEX(Sheet1!$G:$J, MATCH(E12, Sheet1!$C:$C, 0), IF(COUNTIF(Sheet1!$G:$G, $I$8)&gt;0, 1, IF(COUNTIF(Sheet1!$H:$H, $I$8)&gt;0, 2, IF(COUNTIF(Sheet1!$I:$I, $I$8)&gt;0, 3, IF(COUNTIF(Sheet1!$J:$J, $I$8)&gt;0, 4, 0)))))), "")</f>
        <v>836</v>
      </c>
    </row>
    <row r="13" spans="4:9" x14ac:dyDescent="0.25">
      <c r="I13" s="3" t="str" cm="1">
        <f t="array" ref="I13">IFERROR(IF(E13="", "", INDEX(Sheet1!$G:$J, MATCH(E13, Sheet1!$C:$C, 0), IF(COUNTIF(Sheet1!$G:$G, $I$8)&gt;0, 1, IF(COUNTIF(Sheet1!$H:$H, $I$8)&gt;0, 2, IF(COUNTIF(Sheet1!$I:$I, $I$8)&gt;0, 3, IF(COUNTIF(Sheet1!$J:$J, $I$8)&gt;0, 4, 0)))))), "")</f>
        <v/>
      </c>
    </row>
    <row r="14" spans="4:9" x14ac:dyDescent="0.25">
      <c r="I14" s="3" t="str" cm="1">
        <f t="array" ref="I14">IFERROR(IF(E14="", "", INDEX(Sheet1!$G:$J, MATCH(E14, Sheet1!$C:$C, 0), IF(COUNTIF(Sheet1!$G:$G, $I$8)&gt;0, 1, IF(COUNTIF(Sheet1!$H:$H, $I$8)&gt;0, 2, IF(COUNTIF(Sheet1!$I:$I, $I$8)&gt;0, 3, IF(COUNTIF(Sheet1!$J:$J, $I$8)&gt;0, 4, 0)))))), "")</f>
        <v/>
      </c>
    </row>
    <row r="15" spans="4:9" x14ac:dyDescent="0.25">
      <c r="I15" s="3" t="str" cm="1">
        <f t="array" ref="I15">IFERROR(IF(E15="", "", INDEX(Sheet1!$G:$J, MATCH(E15, Sheet1!$C:$C, 0), IF(COUNTIF(Sheet1!$G:$G, $I$8)&gt;0, 1, IF(COUNTIF(Sheet1!$H:$H, $I$8)&gt;0, 2, IF(COUNTIF(Sheet1!$I:$I, $I$8)&gt;0, 3, IF(COUNTIF(Sheet1!$J:$J, $I$8)&gt;0, 4, 0)))))), "")</f>
        <v/>
      </c>
    </row>
    <row r="16" spans="4:9" x14ac:dyDescent="0.25">
      <c r="I16" s="3" t="str" cm="1">
        <f t="array" ref="I16">IFERROR(IF(E16="", "", INDEX(Sheet1!$G:$J, MATCH(E16, Sheet1!$C:$C, 0), IF(COUNTIF(Sheet1!$G:$G, $I$8)&gt;0, 1, IF(COUNTIF(Sheet1!$H:$H, $I$8)&gt;0, 2, IF(COUNTIF(Sheet1!$I:$I, $I$8)&gt;0, 3, IF(COUNTIF(Sheet1!$J:$J, $I$8)&gt;0, 4, 0)))))), "")</f>
        <v/>
      </c>
    </row>
    <row r="17" spans="9:9" x14ac:dyDescent="0.25">
      <c r="I17" s="3" t="str" cm="1">
        <f t="array" ref="I17">IFERROR(IF(E17="", "", INDEX(Sheet1!$G:$J, MATCH(E17, Sheet1!$C:$C, 0), IF(COUNTIF(Sheet1!$G:$G, $I$8)&gt;0, 1, IF(COUNTIF(Sheet1!$H:$H, $I$8)&gt;0, 2, IF(COUNTIF(Sheet1!$I:$I, $I$8)&gt;0, 3, IF(COUNTIF(Sheet1!$J:$J, $I$8)&gt;0, 4, 0)))))), "")</f>
        <v/>
      </c>
    </row>
    <row r="18" spans="9:9" x14ac:dyDescent="0.25">
      <c r="I18" s="3" t="str" cm="1">
        <f t="array" ref="I18">IFERROR(IF(E18="", "", INDEX(Sheet1!$G:$J, MATCH(E18, Sheet1!$C:$C, 0), IF(COUNTIF(Sheet1!$G:$G, $I$8)&gt;0, 1, IF(COUNTIF(Sheet1!$H:$H, $I$8)&gt;0, 2, IF(COUNTIF(Sheet1!$I:$I, $I$8)&gt;0, 3, IF(COUNTIF(Sheet1!$J:$J, $I$8)&gt;0, 4, 0)))))), "")</f>
        <v/>
      </c>
    </row>
    <row r="19" spans="9:9" x14ac:dyDescent="0.25">
      <c r="I19" s="3" t="str" cm="1">
        <f t="array" ref="I19">IFERROR(IF(E19="", "", INDEX(Sheet1!$G:$J, MATCH(E19, Sheet1!$C:$C, 0), IF(COUNTIF(Sheet1!$G:$G, $I$8)&gt;0, 1, IF(COUNTIF(Sheet1!$H:$H, $I$8)&gt;0, 2, IF(COUNTIF(Sheet1!$I:$I, $I$8)&gt;0, 3, IF(COUNTIF(Sheet1!$J:$J, $I$8)&gt;0, 4, 0)))))), "")</f>
        <v/>
      </c>
    </row>
    <row r="20" spans="9:9" x14ac:dyDescent="0.25">
      <c r="I20" s="3" t="str" cm="1">
        <f t="array" ref="I20">IFERROR(IF(E20="", "", INDEX(Sheet1!$G:$J, MATCH(E20, Sheet1!$C:$C, 0), IF(COUNTIF(Sheet1!$G:$G, $I$8)&gt;0, 1, IF(COUNTIF(Sheet1!$H:$H, $I$8)&gt;0, 2, IF(COUNTIF(Sheet1!$I:$I, $I$8)&gt;0, 3, IF(COUNTIF(Sheet1!$J:$J, $I$8)&gt;0, 4, 0)))))), "")</f>
        <v/>
      </c>
    </row>
    <row r="21" spans="9:9" x14ac:dyDescent="0.25">
      <c r="I21" s="3" t="str" cm="1">
        <f t="array" ref="I21">IFERROR(IF(E21="", "", INDEX(Sheet1!$G:$J, MATCH(E21, Sheet1!$C:$C, 0), IF(COUNTIF(Sheet1!$G:$G, $I$8)&gt;0, 1, IF(COUNTIF(Sheet1!$H:$H, $I$8)&gt;0, 2, IF(COUNTIF(Sheet1!$I:$I, $I$8)&gt;0, 3, IF(COUNTIF(Sheet1!$J:$J, $I$8)&gt;0, 4, 0)))))), "")</f>
        <v/>
      </c>
    </row>
    <row r="22" spans="9:9" x14ac:dyDescent="0.25">
      <c r="I22" s="3" t="str" cm="1">
        <f t="array" ref="I22">IFERROR(IF(E22="", "", INDEX(Sheet1!$G:$J, MATCH(E22, Sheet1!$C:$C, 0), IF(COUNTIF(Sheet1!$G:$G, $I$8)&gt;0, 1, IF(COUNTIF(Sheet1!$H:$H, $I$8)&gt;0, 2, IF(COUNTIF(Sheet1!$I:$I, $I$8)&gt;0, 3, IF(COUNTIF(Sheet1!$J:$J, $I$8)&gt;0, 4, 0)))))), "")</f>
        <v/>
      </c>
    </row>
    <row r="23" spans="9:9" x14ac:dyDescent="0.25">
      <c r="I23" s="3" t="str" cm="1">
        <f t="array" ref="I23">IFERROR(IF(E23="", "", INDEX(Sheet1!$G:$J, MATCH(E23, Sheet1!$C:$C, 0), IF(COUNTIF(Sheet1!$G:$G, $I$8)&gt;0, 1, IF(COUNTIF(Sheet1!$H:$H, $I$8)&gt;0, 2, IF(COUNTIF(Sheet1!$I:$I, $I$8)&gt;0, 3, IF(COUNTIF(Sheet1!$J:$J, $I$8)&gt;0, 4, 0)))))), "")</f>
        <v/>
      </c>
    </row>
    <row r="24" spans="9:9" x14ac:dyDescent="0.25">
      <c r="I24" s="3" t="str" cm="1">
        <f t="array" ref="I24">IFERROR(IF(E24="", "", INDEX(Sheet1!$G:$J, MATCH(E24, Sheet1!$C:$C, 0), IF(COUNTIF(Sheet1!$G:$G, $I$8)&gt;0, 1, IF(COUNTIF(Sheet1!$H:$H, $I$8)&gt;0, 2, IF(COUNTIF(Sheet1!$I:$I, $I$8)&gt;0, 3, IF(COUNTIF(Sheet1!$J:$J, $I$8)&gt;0, 4, 0)))))), "")</f>
        <v/>
      </c>
    </row>
    <row r="25" spans="9:9" x14ac:dyDescent="0.25">
      <c r="I25" s="3" t="str" cm="1">
        <f t="array" ref="I25">IFERROR(IF(E25="", "", INDEX(Sheet1!$G:$J, MATCH(E25, Sheet1!$C:$C, 0), IF(COUNTIF(Sheet1!$G:$G, $I$8)&gt;0, 1, IF(COUNTIF(Sheet1!$H:$H, $I$8)&gt;0, 2, IF(COUNTIF(Sheet1!$I:$I, $I$8)&gt;0, 3, IF(COUNTIF(Sheet1!$J:$J, $I$8)&gt;0, 4, 0)))))), "")</f>
        <v/>
      </c>
    </row>
    <row r="26" spans="9:9" x14ac:dyDescent="0.25">
      <c r="I26" s="3" t="str" cm="1">
        <f t="array" ref="I26">IFERROR(IF(E26="", "", INDEX(Sheet1!$G:$J, MATCH(E26, Sheet1!$C:$C, 0), IF(COUNTIF(Sheet1!$G:$G, $I$8)&gt;0, 1, IF(COUNTIF(Sheet1!$H:$H, $I$8)&gt;0, 2, IF(COUNTIF(Sheet1!$I:$I, $I$8)&gt;0, 3, IF(COUNTIF(Sheet1!$J:$J, $I$8)&gt;0, 4, 0)))))), "")</f>
        <v/>
      </c>
    </row>
    <row r="27" spans="9:9" x14ac:dyDescent="0.25">
      <c r="I27" s="3" t="str" cm="1">
        <f t="array" ref="I27">IFERROR(IF(E27="", "", INDEX(Sheet1!$G:$J, MATCH(E27, Sheet1!$C:$C, 0), IF(COUNTIF(Sheet1!$G:$G, $I$8)&gt;0, 1, IF(COUNTIF(Sheet1!$H:$H, $I$8)&gt;0, 2, IF(COUNTIF(Sheet1!$I:$I, $I$8)&gt;0, 3, IF(COUNTIF(Sheet1!$J:$J, $I$8)&gt;0, 4, 0)))))), "")</f>
        <v/>
      </c>
    </row>
    <row r="28" spans="9:9" x14ac:dyDescent="0.25">
      <c r="I28" s="3" t="str" cm="1">
        <f t="array" ref="I28">IFERROR(IF(E28="", "", INDEX(Sheet1!$G:$J, MATCH(E28, Sheet1!$C:$C, 0), IF(COUNTIF(Sheet1!$G:$G, $I$8)&gt;0, 1, IF(COUNTIF(Sheet1!$H:$H, $I$8)&gt;0, 2, IF(COUNTIF(Sheet1!$I:$I, $I$8)&gt;0, 3, IF(COUNTIF(Sheet1!$J:$J, $I$8)&gt;0, 4, 0)))))), "")</f>
        <v/>
      </c>
    </row>
    <row r="29" spans="9:9" x14ac:dyDescent="0.25">
      <c r="I29" s="3" t="str" cm="1">
        <f t="array" ref="I29">IFERROR(IF(E29="", "", INDEX(Sheet1!$G:$J, MATCH(E29, Sheet1!$C:$C, 0), IF(COUNTIF(Sheet1!$G:$G, $I$8)&gt;0, 1, IF(COUNTIF(Sheet1!$H:$H, $I$8)&gt;0, 2, IF(COUNTIF(Sheet1!$I:$I, $I$8)&gt;0, 3, IF(COUNTIF(Sheet1!$J:$J, $I$8)&gt;0, 4, 0)))))), "")</f>
        <v/>
      </c>
    </row>
    <row r="30" spans="9:9" x14ac:dyDescent="0.25">
      <c r="I30" s="3" t="str" cm="1">
        <f t="array" ref="I30">IFERROR(IF(E30="", "", INDEX(Sheet1!$G:$J, MATCH(E30, Sheet1!$C:$C, 0), IF(COUNTIF(Sheet1!$G:$G, $I$8)&gt;0, 1, IF(COUNTIF(Sheet1!$H:$H, $I$8)&gt;0, 2, IF(COUNTIF(Sheet1!$I:$I, $I$8)&gt;0, 3, IF(COUNTIF(Sheet1!$J:$J, $I$8)&gt;0, 4, 0)))))), "")</f>
        <v/>
      </c>
    </row>
    <row r="31" spans="9:9" x14ac:dyDescent="0.25">
      <c r="I31" s="3" t="str" cm="1">
        <f t="array" ref="I31">IFERROR(IF(E31="", "", INDEX(Sheet1!$G:$J, MATCH(E31, Sheet1!$C:$C, 0), IF(COUNTIF(Sheet1!$G:$G, $I$8)&gt;0, 1, IF(COUNTIF(Sheet1!$H:$H, $I$8)&gt;0, 2, IF(COUNTIF(Sheet1!$I:$I, $I$8)&gt;0, 3, IF(COUNTIF(Sheet1!$J:$J, $I$8)&gt;0, 4, 0)))))), "")</f>
        <v/>
      </c>
    </row>
    <row r="32" spans="9:9" x14ac:dyDescent="0.25">
      <c r="I32" s="3" t="str" cm="1">
        <f t="array" ref="I32">IFERROR(IF(E32="", "", INDEX(Sheet1!$G:$J, MATCH(E32, Sheet1!$C:$C, 0), IF(COUNTIF(Sheet1!$G:$G, $I$8)&gt;0, 1, IF(COUNTIF(Sheet1!$H:$H, $I$8)&gt;0, 2, IF(COUNTIF(Sheet1!$I:$I, $I$8)&gt;0, 3, IF(COUNTIF(Sheet1!$J:$J, $I$8)&gt;0, 4, 0)))))), "")</f>
        <v/>
      </c>
    </row>
    <row r="33" spans="9:9" x14ac:dyDescent="0.25">
      <c r="I33" s="3" t="str" cm="1">
        <f t="array" ref="I33">IFERROR(IF(E33="", "", INDEX(Sheet1!$G:$J, MATCH(E33, Sheet1!$C:$C, 0), IF(COUNTIF(Sheet1!$G:$G, $I$8)&gt;0, 1, IF(COUNTIF(Sheet1!$H:$H, $I$8)&gt;0, 2, IF(COUNTIF(Sheet1!$I:$I, $I$8)&gt;0, 3, IF(COUNTIF(Sheet1!$J:$J, $I$8)&gt;0, 4, 0)))))), "")</f>
        <v/>
      </c>
    </row>
    <row r="34" spans="9:9" x14ac:dyDescent="0.25">
      <c r="I34" s="3" t="str" cm="1">
        <f t="array" ref="I34">IFERROR(IF(E34="", "", INDEX(Sheet1!$G:$J, MATCH(E34, Sheet1!$C:$C, 0), IF(COUNTIF(Sheet1!$G:$G, $I$8)&gt;0, 1, IF(COUNTIF(Sheet1!$H:$H, $I$8)&gt;0, 2, IF(COUNTIF(Sheet1!$I:$I, $I$8)&gt;0, 3, IF(COUNTIF(Sheet1!$J:$J, $I$8)&gt;0, 4, 0)))))), "")</f>
        <v/>
      </c>
    </row>
    <row r="35" spans="9:9" x14ac:dyDescent="0.25">
      <c r="I35" s="3" t="str" cm="1">
        <f t="array" ref="I35">IFERROR(IF(E35="", "", INDEX(Sheet1!$G:$J, MATCH(E35, Sheet1!$C:$C, 0), IF(COUNTIF(Sheet1!$G:$G, $I$8)&gt;0, 1, IF(COUNTIF(Sheet1!$H:$H, $I$8)&gt;0, 2, IF(COUNTIF(Sheet1!$I:$I, $I$8)&gt;0, 3, IF(COUNTIF(Sheet1!$J:$J, $I$8)&gt;0, 4, 0)))))), "")</f>
        <v/>
      </c>
    </row>
    <row r="36" spans="9:9" x14ac:dyDescent="0.25">
      <c r="I36" s="3" t="str" cm="1">
        <f t="array" ref="I36">IFERROR(IF(E36="", "", INDEX(Sheet1!$G:$J, MATCH(E36, Sheet1!$C:$C, 0), IF(COUNTIF(Sheet1!$G:$G, $I$8)&gt;0, 1, IF(COUNTIF(Sheet1!$H:$H, $I$8)&gt;0, 2, IF(COUNTIF(Sheet1!$I:$I, $I$8)&gt;0, 3, IF(COUNTIF(Sheet1!$J:$J, $I$8)&gt;0, 4, 0)))))), "")</f>
        <v/>
      </c>
    </row>
    <row r="37" spans="9:9" x14ac:dyDescent="0.25">
      <c r="I37" s="3" t="str" cm="1">
        <f t="array" ref="I37">IFERROR(IF(E37="", "", INDEX(Sheet1!$G:$J, MATCH(E37, Sheet1!$C:$C, 0), IF(COUNTIF(Sheet1!$G:$G, $I$8)&gt;0, 1, IF(COUNTIF(Sheet1!$H:$H, $I$8)&gt;0, 2, IF(COUNTIF(Sheet1!$I:$I, $I$8)&gt;0, 3, IF(COUNTIF(Sheet1!$J:$J, $I$8)&gt;0, 4, 0)))))), "")</f>
        <v/>
      </c>
    </row>
    <row r="38" spans="9:9" x14ac:dyDescent="0.25">
      <c r="I38" s="3" t="str" cm="1">
        <f t="array" ref="I38">IFERROR(IF(E38="", "", INDEX(Sheet1!$G:$J, MATCH(E38, Sheet1!$C:$C, 0), IF(COUNTIF(Sheet1!$G:$G, $I$8)&gt;0, 1, IF(COUNTIF(Sheet1!$H:$H, $I$8)&gt;0, 2, IF(COUNTIF(Sheet1!$I:$I, $I$8)&gt;0, 3, IF(COUNTIF(Sheet1!$J:$J, $I$8)&gt;0, 4, 0)))))), "")</f>
        <v/>
      </c>
    </row>
    <row r="39" spans="9:9" x14ac:dyDescent="0.25">
      <c r="I39" s="3" t="str" cm="1">
        <f t="array" ref="I39">IFERROR(IF(E39="", "", INDEX(Sheet1!$G:$J, MATCH(E39, Sheet1!$C:$C, 0), IF(COUNTIF(Sheet1!$G:$G, $I$8)&gt;0, 1, IF(COUNTIF(Sheet1!$H:$H, $I$8)&gt;0, 2, IF(COUNTIF(Sheet1!$I:$I, $I$8)&gt;0, 3, IF(COUNTIF(Sheet1!$J:$J, $I$8)&gt;0, 4, 0)))))), "")</f>
        <v/>
      </c>
    </row>
    <row r="40" spans="9:9" x14ac:dyDescent="0.25">
      <c r="I40" s="3" t="str" cm="1">
        <f t="array" ref="I40">IFERROR(IF(E40="", "", INDEX(Sheet1!$G:$J, MATCH(E40, Sheet1!$C:$C, 0), IF(COUNTIF(Sheet1!$G:$G, $I$8)&gt;0, 1, IF(COUNTIF(Sheet1!$H:$H, $I$8)&gt;0, 2, IF(COUNTIF(Sheet1!$I:$I, $I$8)&gt;0, 3, IF(COUNTIF(Sheet1!$J:$J, $I$8)&gt;0, 4, 0)))))), "")</f>
        <v/>
      </c>
    </row>
    <row r="41" spans="9:9" x14ac:dyDescent="0.25">
      <c r="I41" s="3" t="str" cm="1">
        <f t="array" ref="I41">IFERROR(IF(E41="", "", INDEX(Sheet1!$G:$J, MATCH(E41, Sheet1!$C:$C, 0), IF(COUNTIF(Sheet1!$G:$G, $I$8)&gt;0, 1, IF(COUNTIF(Sheet1!$H:$H, $I$8)&gt;0, 2, IF(COUNTIF(Sheet1!$I:$I, $I$8)&gt;0, 3, IF(COUNTIF(Sheet1!$J:$J, $I$8)&gt;0, 4, 0)))))), "")</f>
        <v/>
      </c>
    </row>
    <row r="42" spans="9:9" x14ac:dyDescent="0.25">
      <c r="I42" s="3" t="str" cm="1">
        <f t="array" ref="I42">IFERROR(IF(E42="", "", INDEX(Sheet1!$G:$J, MATCH(E42, Sheet1!$C:$C, 0), IF(COUNTIF(Sheet1!$G:$G, $I$8)&gt;0, 1, IF(COUNTIF(Sheet1!$H:$H, $I$8)&gt;0, 2, IF(COUNTIF(Sheet1!$I:$I, $I$8)&gt;0, 3, IF(COUNTIF(Sheet1!$J:$J, $I$8)&gt;0, 4, 0)))))), "")</f>
        <v/>
      </c>
    </row>
    <row r="43" spans="9:9" x14ac:dyDescent="0.25">
      <c r="I43" s="3" t="str" cm="1">
        <f t="array" ref="I43">IFERROR(IF(E43="", "", INDEX(Sheet1!$G:$J, MATCH(E43, Sheet1!$C:$C, 0), IF(COUNTIF(Sheet1!$G:$G, $I$8)&gt;0, 1, IF(COUNTIF(Sheet1!$H:$H, $I$8)&gt;0, 2, IF(COUNTIF(Sheet1!$I:$I, $I$8)&gt;0, 3, IF(COUNTIF(Sheet1!$J:$J, $I$8)&gt;0, 4, 0)))))), "")</f>
        <v/>
      </c>
    </row>
    <row r="44" spans="9:9" x14ac:dyDescent="0.25">
      <c r="I44" s="3" t="str" cm="1">
        <f t="array" ref="I44">IFERROR(IF(E44="", "", INDEX(Sheet1!$G:$J, MATCH(E44, Sheet1!$C:$C, 0), IF(COUNTIF(Sheet1!$G:$G, $I$8)&gt;0, 1, IF(COUNTIF(Sheet1!$H:$H, $I$8)&gt;0, 2, IF(COUNTIF(Sheet1!$I:$I, $I$8)&gt;0, 3, IF(COUNTIF(Sheet1!$J:$J, $I$8)&gt;0, 4, 0)))))), "")</f>
        <v/>
      </c>
    </row>
    <row r="45" spans="9:9" x14ac:dyDescent="0.25">
      <c r="I45" s="3" t="str" cm="1">
        <f t="array" ref="I45">IFERROR(IF(E45="", "", INDEX(Sheet1!$G:$J, MATCH(E45, Sheet1!$C:$C, 0), IF(COUNTIF(Sheet1!$G:$G, $I$8)&gt;0, 1, IF(COUNTIF(Sheet1!$H:$H, $I$8)&gt;0, 2, IF(COUNTIF(Sheet1!$I:$I, $I$8)&gt;0, 3, IF(COUNTIF(Sheet1!$J:$J, $I$8)&gt;0, 4, 0)))))), "")</f>
        <v/>
      </c>
    </row>
    <row r="46" spans="9:9" x14ac:dyDescent="0.25">
      <c r="I46" s="3" t="str" cm="1">
        <f t="array" ref="I46">IFERROR(IF(E46="", "", INDEX(Sheet1!$G:$J, MATCH(E46, Sheet1!$C:$C, 0), IF(COUNTIF(Sheet1!$G:$G, $I$8)&gt;0, 1, IF(COUNTIF(Sheet1!$H:$H, $I$8)&gt;0, 2, IF(COUNTIF(Sheet1!$I:$I, $I$8)&gt;0, 3, IF(COUNTIF(Sheet1!$J:$J, $I$8)&gt;0, 4, 0)))))), "")</f>
        <v/>
      </c>
    </row>
    <row r="47" spans="9:9" x14ac:dyDescent="0.25">
      <c r="I47" s="3" t="str" cm="1">
        <f t="array" ref="I47">IFERROR(IF(E47="", "", INDEX(Sheet1!$G:$J, MATCH(E47, Sheet1!$C:$C, 0), IF(COUNTIF(Sheet1!$G:$G, $I$8)&gt;0, 1, IF(COUNTIF(Sheet1!$H:$H, $I$8)&gt;0, 2, IF(COUNTIF(Sheet1!$I:$I, $I$8)&gt;0, 3, IF(COUNTIF(Sheet1!$J:$J, $I$8)&gt;0, 4, 0)))))), "")</f>
        <v/>
      </c>
    </row>
    <row r="48" spans="9:9" x14ac:dyDescent="0.25">
      <c r="I48" s="3" t="str" cm="1">
        <f t="array" ref="I48">IFERROR(IF(E48="", "", INDEX(Sheet1!$G:$J, MATCH(E48, Sheet1!$C:$C, 0), IF(COUNTIF(Sheet1!$G:$G, $I$8)&gt;0, 1, IF(COUNTIF(Sheet1!$H:$H, $I$8)&gt;0, 2, IF(COUNTIF(Sheet1!$I:$I, $I$8)&gt;0, 3, IF(COUNTIF(Sheet1!$J:$J, $I$8)&gt;0, 4, 0)))))), "")</f>
        <v/>
      </c>
    </row>
    <row r="49" spans="9:9" x14ac:dyDescent="0.25">
      <c r="I49" s="3" t="str" cm="1">
        <f t="array" ref="I49">IFERROR(IF(E49="", "", INDEX(Sheet1!$G:$J, MATCH(E49, Sheet1!$C:$C, 0), IF(COUNTIF(Sheet1!$G:$G, $I$8)&gt;0, 1, IF(COUNTIF(Sheet1!$H:$H, $I$8)&gt;0, 2, IF(COUNTIF(Sheet1!$I:$I, $I$8)&gt;0, 3, IF(COUNTIF(Sheet1!$J:$J, $I$8)&gt;0, 4, 0)))))), "")</f>
        <v/>
      </c>
    </row>
    <row r="50" spans="9:9" x14ac:dyDescent="0.25">
      <c r="I50" s="3" t="str" cm="1">
        <f t="array" ref="I50">IFERROR(IF(E50="", "", INDEX(Sheet1!$G:$J, MATCH(E50, Sheet1!$C:$C, 0), IF(COUNTIF(Sheet1!$G:$G, $I$8)&gt;0, 1, IF(COUNTIF(Sheet1!$H:$H, $I$8)&gt;0, 2, IF(COUNTIF(Sheet1!$I:$I, $I$8)&gt;0, 3, IF(COUNTIF(Sheet1!$J:$J, $I$8)&gt;0, 4, 0)))))), "")</f>
        <v/>
      </c>
    </row>
    <row r="51" spans="9:9" x14ac:dyDescent="0.25">
      <c r="I51" s="3" t="str" cm="1">
        <f t="array" ref="I51">IFERROR(IF(E51="", "", INDEX(Sheet1!$G:$J, MATCH(E51, Sheet1!$C:$C, 0), IF(COUNTIF(Sheet1!$G:$G, $I$8)&gt;0, 1, IF(COUNTIF(Sheet1!$H:$H, $I$8)&gt;0, 2, IF(COUNTIF(Sheet1!$I:$I, $I$8)&gt;0, 3, IF(COUNTIF(Sheet1!$J:$J, $I$8)&gt;0, 4, 0)))))), "")</f>
        <v/>
      </c>
    </row>
    <row r="52" spans="9:9" x14ac:dyDescent="0.25">
      <c r="I52" s="3" t="str" cm="1">
        <f t="array" ref="I52">IFERROR(IF(E52="", "", INDEX(Sheet1!$G:$J, MATCH(E52, Sheet1!$C:$C, 0), IF(COUNTIF(Sheet1!$G:$G, $I$8)&gt;0, 1, IF(COUNTIF(Sheet1!$H:$H, $I$8)&gt;0, 2, IF(COUNTIF(Sheet1!$I:$I, $I$8)&gt;0, 3, IF(COUNTIF(Sheet1!$J:$J, $I$8)&gt;0, 4, 0)))))), "")</f>
        <v/>
      </c>
    </row>
    <row r="53" spans="9:9" x14ac:dyDescent="0.25">
      <c r="I53" s="3" t="str" cm="1">
        <f t="array" ref="I53">IFERROR(IF(E53="", "", INDEX(Sheet1!$G:$J, MATCH(E53, Sheet1!$C:$C, 0), IF(COUNTIF(Sheet1!$G:$G, $I$8)&gt;0, 1, IF(COUNTIF(Sheet1!$H:$H, $I$8)&gt;0, 2, IF(COUNTIF(Sheet1!$I:$I, $I$8)&gt;0, 3, IF(COUNTIF(Sheet1!$J:$J, $I$8)&gt;0, 4, 0)))))), "")</f>
        <v/>
      </c>
    </row>
    <row r="54" spans="9:9" x14ac:dyDescent="0.25">
      <c r="I54" s="3" t="str" cm="1">
        <f t="array" ref="I54">IFERROR(IF(E54="", "", INDEX(Sheet1!$G:$J, MATCH(E54, Sheet1!$C:$C, 0), IF(COUNTIF(Sheet1!$G:$G, $I$8)&gt;0, 1, IF(COUNTIF(Sheet1!$H:$H, $I$8)&gt;0, 2, IF(COUNTIF(Sheet1!$I:$I, $I$8)&gt;0, 3, IF(COUNTIF(Sheet1!$J:$J, $I$8)&gt;0, 4, 0)))))), "")</f>
        <v/>
      </c>
    </row>
    <row r="55" spans="9:9" x14ac:dyDescent="0.25">
      <c r="I55" s="3" t="str" cm="1">
        <f t="array" ref="I55">IFERROR(IF(E55="", "", INDEX(Sheet1!$G:$J, MATCH(E55, Sheet1!$C:$C, 0), IF(COUNTIF(Sheet1!$G:$G, $I$8)&gt;0, 1, IF(COUNTIF(Sheet1!$H:$H, $I$8)&gt;0, 2, IF(COUNTIF(Sheet1!$I:$I, $I$8)&gt;0, 3, IF(COUNTIF(Sheet1!$J:$J, $I$8)&gt;0, 4, 0)))))), "")</f>
        <v/>
      </c>
    </row>
    <row r="56" spans="9:9" x14ac:dyDescent="0.25">
      <c r="I56" s="3" t="str" cm="1">
        <f t="array" ref="I56">IFERROR(IF(E56="", "", INDEX(Sheet1!$G:$J, MATCH(E56, Sheet1!$C:$C, 0), IF(COUNTIF(Sheet1!$G:$G, $I$8)&gt;0, 1, IF(COUNTIF(Sheet1!$H:$H, $I$8)&gt;0, 2, IF(COUNTIF(Sheet1!$I:$I, $I$8)&gt;0, 3, IF(COUNTIF(Sheet1!$J:$J, $I$8)&gt;0, 4, 0)))))), "")</f>
        <v/>
      </c>
    </row>
    <row r="57" spans="9:9" x14ac:dyDescent="0.25">
      <c r="I57" s="3" t="str" cm="1">
        <f t="array" ref="I57">IFERROR(IF(E57="", "", INDEX(Sheet1!$G:$J, MATCH(E57, Sheet1!$C:$C, 0), IF(COUNTIF(Sheet1!$G:$G, $I$8)&gt;0, 1, IF(COUNTIF(Sheet1!$H:$H, $I$8)&gt;0, 2, IF(COUNTIF(Sheet1!$I:$I, $I$8)&gt;0, 3, IF(COUNTIF(Sheet1!$J:$J, $I$8)&gt;0, 4, 0)))))), "")</f>
        <v/>
      </c>
    </row>
    <row r="58" spans="9:9" x14ac:dyDescent="0.25">
      <c r="I58" s="3" t="str" cm="1">
        <f t="array" ref="I58">IFERROR(IF(E58="", "", INDEX(Sheet1!$G:$J, MATCH(E58, Sheet1!$C:$C, 0), IF(COUNTIF(Sheet1!$G:$G, $I$8)&gt;0, 1, IF(COUNTIF(Sheet1!$H:$H, $I$8)&gt;0, 2, IF(COUNTIF(Sheet1!$I:$I, $I$8)&gt;0, 3, IF(COUNTIF(Sheet1!$J:$J, $I$8)&gt;0, 4, 0)))))), "")</f>
        <v/>
      </c>
    </row>
    <row r="59" spans="9:9" x14ac:dyDescent="0.25">
      <c r="I59" s="3" t="str" cm="1">
        <f t="array" ref="I59">IFERROR(IF(E59="", "", INDEX(Sheet1!$G:$J, MATCH(E59, Sheet1!$C:$C, 0), IF(COUNTIF(Sheet1!$G:$G, $I$8)&gt;0, 1, IF(COUNTIF(Sheet1!$H:$H, $I$8)&gt;0, 2, IF(COUNTIF(Sheet1!$I:$I, $I$8)&gt;0, 3, IF(COUNTIF(Sheet1!$J:$J, $I$8)&gt;0, 4, 0)))))), "")</f>
        <v/>
      </c>
    </row>
    <row r="60" spans="9:9" x14ac:dyDescent="0.25">
      <c r="I60" s="3" t="str" cm="1">
        <f t="array" ref="I60">IFERROR(IF(E60="", "", INDEX(Sheet1!$G:$J, MATCH(E60, Sheet1!$C:$C, 0), IF(COUNTIF(Sheet1!$G:$G, $I$8)&gt;0, 1, IF(COUNTIF(Sheet1!$H:$H, $I$8)&gt;0, 2, IF(COUNTIF(Sheet1!$I:$I, $I$8)&gt;0, 3, IF(COUNTIF(Sheet1!$J:$J, $I$8)&gt;0, 4, 0)))))), "")</f>
        <v/>
      </c>
    </row>
    <row r="61" spans="9:9" x14ac:dyDescent="0.25">
      <c r="I61" s="3" t="str" cm="1">
        <f t="array" ref="I61">IFERROR(IF(E61="", "", INDEX(Sheet1!$G:$J, MATCH(E61, Sheet1!$C:$C, 0), IF(COUNTIF(Sheet1!$G:$G, $I$8)&gt;0, 1, IF(COUNTIF(Sheet1!$H:$H, $I$8)&gt;0, 2, IF(COUNTIF(Sheet1!$I:$I, $I$8)&gt;0, 3, IF(COUNTIF(Sheet1!$J:$J, $I$8)&gt;0, 4, 0)))))), "")</f>
        <v/>
      </c>
    </row>
    <row r="62" spans="9:9" x14ac:dyDescent="0.25">
      <c r="I62" s="3" t="str" cm="1">
        <f t="array" ref="I62">IFERROR(IF(E62="", "", INDEX(Sheet1!$G:$J, MATCH(E62, Sheet1!$C:$C, 0), IF(COUNTIF(Sheet1!$G:$G, $I$8)&gt;0, 1, IF(COUNTIF(Sheet1!$H:$H, $I$8)&gt;0, 2, IF(COUNTIF(Sheet1!$I:$I, $I$8)&gt;0, 3, IF(COUNTIF(Sheet1!$J:$J, $I$8)&gt;0, 4, 0)))))), "")</f>
        <v/>
      </c>
    </row>
    <row r="63" spans="9:9" x14ac:dyDescent="0.25">
      <c r="I63" s="3" t="str" cm="1">
        <f t="array" ref="I63">IFERROR(IF(E63="", "", INDEX(Sheet1!$G:$J, MATCH(E63, Sheet1!$C:$C, 0), IF(COUNTIF(Sheet1!$G:$G, $I$8)&gt;0, 1, IF(COUNTIF(Sheet1!$H:$H, $I$8)&gt;0, 2, IF(COUNTIF(Sheet1!$I:$I, $I$8)&gt;0, 3, IF(COUNTIF(Sheet1!$J:$J, $I$8)&gt;0, 4, 0)))))), "")</f>
        <v/>
      </c>
    </row>
    <row r="64" spans="9:9" x14ac:dyDescent="0.25">
      <c r="I64" s="3" t="str" cm="1">
        <f t="array" ref="I64">IFERROR(IF(E64="", "", INDEX(Sheet1!$G:$J, MATCH(E64, Sheet1!$C:$C, 0), IF(COUNTIF(Sheet1!$G:$G, $I$8)&gt;0, 1, IF(COUNTIF(Sheet1!$H:$H, $I$8)&gt;0, 2, IF(COUNTIF(Sheet1!$I:$I, $I$8)&gt;0, 3, IF(COUNTIF(Sheet1!$J:$J, $I$8)&gt;0, 4, 0)))))), "")</f>
        <v/>
      </c>
    </row>
    <row r="65" spans="9:9" x14ac:dyDescent="0.25">
      <c r="I65" s="3" t="str" cm="1">
        <f t="array" ref="I65">IFERROR(IF(E65="", "", INDEX(Sheet1!$G:$J, MATCH(E65, Sheet1!$C:$C, 0), IF(COUNTIF(Sheet1!$G:$G, $I$8)&gt;0, 1, IF(COUNTIF(Sheet1!$H:$H, $I$8)&gt;0, 2, IF(COUNTIF(Sheet1!$I:$I, $I$8)&gt;0, 3, IF(COUNTIF(Sheet1!$J:$J, $I$8)&gt;0, 4, 0)))))), "")</f>
        <v/>
      </c>
    </row>
    <row r="66" spans="9:9" x14ac:dyDescent="0.25">
      <c r="I66" s="3" t="str" cm="1">
        <f t="array" ref="I66">IFERROR(IF(E66="", "", INDEX(Sheet1!$G:$J, MATCH(E66, Sheet1!$C:$C, 0), IF(COUNTIF(Sheet1!$G:$G, $I$8)&gt;0, 1, IF(COUNTIF(Sheet1!$H:$H, $I$8)&gt;0, 2, IF(COUNTIF(Sheet1!$I:$I, $I$8)&gt;0, 3, IF(COUNTIF(Sheet1!$J:$J, $I$8)&gt;0, 4, 0)))))), "")</f>
        <v/>
      </c>
    </row>
    <row r="67" spans="9:9" x14ac:dyDescent="0.25">
      <c r="I67" s="3" t="str" cm="1">
        <f t="array" ref="I67">IFERROR(IF(E67="", "", INDEX(Sheet1!$G:$J, MATCH(E67, Sheet1!$C:$C, 0), IF(COUNTIF(Sheet1!$G:$G, $I$8)&gt;0, 1, IF(COUNTIF(Sheet1!$H:$H, $I$8)&gt;0, 2, IF(COUNTIF(Sheet1!$I:$I, $I$8)&gt;0, 3, IF(COUNTIF(Sheet1!$J:$J, $I$8)&gt;0, 4, 0)))))), "")</f>
        <v/>
      </c>
    </row>
    <row r="68" spans="9:9" x14ac:dyDescent="0.25">
      <c r="I68" s="3" t="str" cm="1">
        <f t="array" ref="I68">IFERROR(IF(E68="", "", INDEX(Sheet1!$G:$J, MATCH(E68, Sheet1!$C:$C, 0), IF(COUNTIF(Sheet1!$G:$G, $I$8)&gt;0, 1, IF(COUNTIF(Sheet1!$H:$H, $I$8)&gt;0, 2, IF(COUNTIF(Sheet1!$I:$I, $I$8)&gt;0, 3, IF(COUNTIF(Sheet1!$J:$J, $I$8)&gt;0, 4, 0)))))), "")</f>
        <v/>
      </c>
    </row>
    <row r="69" spans="9:9" x14ac:dyDescent="0.25">
      <c r="I69" s="3" t="str" cm="1">
        <f t="array" ref="I69">IFERROR(IF(E69="", "", INDEX(Sheet1!$G:$J, MATCH(E69, Sheet1!$C:$C, 0), IF(COUNTIF(Sheet1!$G:$G, $I$8)&gt;0, 1, IF(COUNTIF(Sheet1!$H:$H, $I$8)&gt;0, 2, IF(COUNTIF(Sheet1!$I:$I, $I$8)&gt;0, 3, IF(COUNTIF(Sheet1!$J:$J, $I$8)&gt;0, 4, 0)))))), "")</f>
        <v/>
      </c>
    </row>
    <row r="70" spans="9:9" x14ac:dyDescent="0.25">
      <c r="I70" s="3" t="str" cm="1">
        <f t="array" ref="I70">IFERROR(IF(E70="", "", INDEX(Sheet1!$G:$J, MATCH(E70, Sheet1!$C:$C, 0), IF(COUNTIF(Sheet1!$G:$G, $I$8)&gt;0, 1, IF(COUNTIF(Sheet1!$H:$H, $I$8)&gt;0, 2, IF(COUNTIF(Sheet1!$I:$I, $I$8)&gt;0, 3, IF(COUNTIF(Sheet1!$J:$J, $I$8)&gt;0, 4, 0)))))), "")</f>
        <v/>
      </c>
    </row>
    <row r="71" spans="9:9" x14ac:dyDescent="0.25">
      <c r="I71" s="3" t="str" cm="1">
        <f t="array" ref="I71">IFERROR(IF(E71="", "", INDEX(Sheet1!$G:$J, MATCH(E71, Sheet1!$C:$C, 0), IF(COUNTIF(Sheet1!$G:$G, $I$8)&gt;0, 1, IF(COUNTIF(Sheet1!$H:$H, $I$8)&gt;0, 2, IF(COUNTIF(Sheet1!$I:$I, $I$8)&gt;0, 3, IF(COUNTIF(Sheet1!$J:$J, $I$8)&gt;0, 4, 0)))))), "")</f>
        <v/>
      </c>
    </row>
    <row r="72" spans="9:9" x14ac:dyDescent="0.25">
      <c r="I72" s="3" t="str" cm="1">
        <f t="array" ref="I72">IFERROR(IF(E72="", "", INDEX(Sheet1!$G:$J, MATCH(E72, Sheet1!$C:$C, 0), IF(COUNTIF(Sheet1!$G:$G, $I$8)&gt;0, 1, IF(COUNTIF(Sheet1!$H:$H, $I$8)&gt;0, 2, IF(COUNTIF(Sheet1!$I:$I, $I$8)&gt;0, 3, IF(COUNTIF(Sheet1!$J:$J, $I$8)&gt;0, 4, 0)))))), "")</f>
        <v/>
      </c>
    </row>
    <row r="73" spans="9:9" x14ac:dyDescent="0.25">
      <c r="I73" s="3" t="str" cm="1">
        <f t="array" ref="I73">IFERROR(IF(E73="", "", INDEX(Sheet1!$G:$J, MATCH(E73, Sheet1!$C:$C, 0), IF(COUNTIF(Sheet1!$G:$G, $I$8)&gt;0, 1, IF(COUNTIF(Sheet1!$H:$H, $I$8)&gt;0, 2, IF(COUNTIF(Sheet1!$I:$I, $I$8)&gt;0, 3, IF(COUNTIF(Sheet1!$J:$J, $I$8)&gt;0, 4, 0)))))), "")</f>
        <v/>
      </c>
    </row>
    <row r="74" spans="9:9" x14ac:dyDescent="0.25">
      <c r="I74" s="3" t="str" cm="1">
        <f t="array" ref="I74">IFERROR(IF(E74="", "", INDEX(Sheet1!$G:$J, MATCH(E74, Sheet1!$C:$C, 0), IF(COUNTIF(Sheet1!$G:$G, $I$8)&gt;0, 1, IF(COUNTIF(Sheet1!$H:$H, $I$8)&gt;0, 2, IF(COUNTIF(Sheet1!$I:$I, $I$8)&gt;0, 3, IF(COUNTIF(Sheet1!$J:$J, $I$8)&gt;0, 4, 0)))))), "")</f>
        <v/>
      </c>
    </row>
    <row r="75" spans="9:9" x14ac:dyDescent="0.25">
      <c r="I75" s="3" t="str" cm="1">
        <f t="array" ref="I75">IFERROR(IF(E75="", "", INDEX(Sheet1!$G:$J, MATCH(E75, Sheet1!$C:$C, 0), IF(COUNTIF(Sheet1!$G:$G, $I$8)&gt;0, 1, IF(COUNTIF(Sheet1!$H:$H, $I$8)&gt;0, 2, IF(COUNTIF(Sheet1!$I:$I, $I$8)&gt;0, 3, IF(COUNTIF(Sheet1!$J:$J, $I$8)&gt;0, 4, 0)))))), "")</f>
        <v/>
      </c>
    </row>
    <row r="76" spans="9:9" x14ac:dyDescent="0.25">
      <c r="I76" s="3" t="str" cm="1">
        <f t="array" ref="I76">IFERROR(IF(E76="", "", INDEX(Sheet1!$G:$J, MATCH(E76, Sheet1!$C:$C, 0), IF(COUNTIF(Sheet1!$G:$G, $I$8)&gt;0, 1, IF(COUNTIF(Sheet1!$H:$H, $I$8)&gt;0, 2, IF(COUNTIF(Sheet1!$I:$I, $I$8)&gt;0, 3, IF(COUNTIF(Sheet1!$J:$J, $I$8)&gt;0, 4, 0)))))), "")</f>
        <v/>
      </c>
    </row>
    <row r="77" spans="9:9" x14ac:dyDescent="0.25">
      <c r="I77" s="3" t="str" cm="1">
        <f t="array" ref="I77">IFERROR(IF(E77="", "", INDEX(Sheet1!$G:$J, MATCH(E77, Sheet1!$C:$C, 0), IF(COUNTIF(Sheet1!$G:$G, $I$8)&gt;0, 1, IF(COUNTIF(Sheet1!$H:$H, $I$8)&gt;0, 2, IF(COUNTIF(Sheet1!$I:$I, $I$8)&gt;0, 3, IF(COUNTIF(Sheet1!$J:$J, $I$8)&gt;0, 4, 0)))))), "")</f>
        <v/>
      </c>
    </row>
    <row r="78" spans="9:9" x14ac:dyDescent="0.25">
      <c r="I78" s="3" t="str" cm="1">
        <f t="array" ref="I78">IFERROR(IF(E78="", "", INDEX(Sheet1!$G:$J, MATCH(E78, Sheet1!$C:$C, 0), IF(COUNTIF(Sheet1!$G:$G, $I$8)&gt;0, 1, IF(COUNTIF(Sheet1!$H:$H, $I$8)&gt;0, 2, IF(COUNTIF(Sheet1!$I:$I, $I$8)&gt;0, 3, IF(COUNTIF(Sheet1!$J:$J, $I$8)&gt;0, 4, 0)))))), "")</f>
        <v/>
      </c>
    </row>
    <row r="79" spans="9:9" x14ac:dyDescent="0.25">
      <c r="I79" s="3" t="str" cm="1">
        <f t="array" ref="I79">IFERROR(IF(E79="", "", INDEX(Sheet1!$G:$J, MATCH(E79, Sheet1!$C:$C, 0), IF(COUNTIF(Sheet1!$G:$G, $I$8)&gt;0, 1, IF(COUNTIF(Sheet1!$H:$H, $I$8)&gt;0, 2, IF(COUNTIF(Sheet1!$I:$I, $I$8)&gt;0, 3, IF(COUNTIF(Sheet1!$J:$J, $I$8)&gt;0, 4, 0)))))), "")</f>
        <v/>
      </c>
    </row>
    <row r="80" spans="9:9" x14ac:dyDescent="0.25">
      <c r="I80" s="3" t="str" cm="1">
        <f t="array" ref="I80">IFERROR(IF(E80="", "", INDEX(Sheet1!$G:$J, MATCH(E80, Sheet1!$C:$C, 0), IF(COUNTIF(Sheet1!$G:$G, $I$8)&gt;0, 1, IF(COUNTIF(Sheet1!$H:$H, $I$8)&gt;0, 2, IF(COUNTIF(Sheet1!$I:$I, $I$8)&gt;0, 3, IF(COUNTIF(Sheet1!$J:$J, $I$8)&gt;0, 4, 0)))))), "")</f>
        <v/>
      </c>
    </row>
    <row r="81" spans="9:9" x14ac:dyDescent="0.25">
      <c r="I81" s="3" t="str" cm="1">
        <f t="array" ref="I81">IFERROR(IF(E81="", "", INDEX(Sheet1!$G:$J, MATCH(E81, Sheet1!$C:$C, 0), IF(COUNTIF(Sheet1!$G:$G, $I$8)&gt;0, 1, IF(COUNTIF(Sheet1!$H:$H, $I$8)&gt;0, 2, IF(COUNTIF(Sheet1!$I:$I, $I$8)&gt;0, 3, IF(COUNTIF(Sheet1!$J:$J, $I$8)&gt;0, 4, 0)))))), "")</f>
        <v/>
      </c>
    </row>
    <row r="82" spans="9:9" x14ac:dyDescent="0.25">
      <c r="I82" s="3" t="str" cm="1">
        <f t="array" ref="I82">IFERROR(IF(E82="", "", INDEX(Sheet1!$G:$J, MATCH(E82, Sheet1!$C:$C, 0), IF(COUNTIF(Sheet1!$G:$G, $I$8)&gt;0, 1, IF(COUNTIF(Sheet1!$H:$H, $I$8)&gt;0, 2, IF(COUNTIF(Sheet1!$I:$I, $I$8)&gt;0, 3, IF(COUNTIF(Sheet1!$J:$J, $I$8)&gt;0, 4, 0)))))), "")</f>
        <v/>
      </c>
    </row>
    <row r="83" spans="9:9" x14ac:dyDescent="0.25">
      <c r="I83" s="3" t="str" cm="1">
        <f t="array" ref="I83">IFERROR(IF(E83="", "", INDEX(Sheet1!$G:$J, MATCH(E83, Sheet1!$C:$C, 0), IF(COUNTIF(Sheet1!$G:$G, $I$8)&gt;0, 1, IF(COUNTIF(Sheet1!$H:$H, $I$8)&gt;0, 2, IF(COUNTIF(Sheet1!$I:$I, $I$8)&gt;0, 3, IF(COUNTIF(Sheet1!$J:$J, $I$8)&gt;0, 4, 0)))))), "")</f>
        <v/>
      </c>
    </row>
    <row r="84" spans="9:9" x14ac:dyDescent="0.25">
      <c r="I84" s="3" t="str" cm="1">
        <f t="array" ref="I84">IFERROR(IF(E84="", "", INDEX(Sheet1!$G:$J, MATCH(E84, Sheet1!$C:$C, 0), IF(COUNTIF(Sheet1!$G:$G, $I$8)&gt;0, 1, IF(COUNTIF(Sheet1!$H:$H, $I$8)&gt;0, 2, IF(COUNTIF(Sheet1!$I:$I, $I$8)&gt;0, 3, IF(COUNTIF(Sheet1!$J:$J, $I$8)&gt;0, 4, 0)))))), "")</f>
        <v/>
      </c>
    </row>
    <row r="85" spans="9:9" x14ac:dyDescent="0.25">
      <c r="I85" s="3" t="str" cm="1">
        <f t="array" ref="I85">IFERROR(IF(E85="", "", INDEX(Sheet1!$G:$J, MATCH(E85, Sheet1!$C:$C, 0), IF(COUNTIF(Sheet1!$G:$G, $I$8)&gt;0, 1, IF(COUNTIF(Sheet1!$H:$H, $I$8)&gt;0, 2, IF(COUNTIF(Sheet1!$I:$I, $I$8)&gt;0, 3, IF(COUNTIF(Sheet1!$J:$J, $I$8)&gt;0, 4, 0)))))), "")</f>
        <v/>
      </c>
    </row>
    <row r="86" spans="9:9" x14ac:dyDescent="0.25">
      <c r="I86" s="3" t="str" cm="1">
        <f t="array" ref="I86">IFERROR(IF(E86="", "", INDEX(Sheet1!$G:$J, MATCH(E86, Sheet1!$C:$C, 0), IF(COUNTIF(Sheet1!$G:$G, $I$8)&gt;0, 1, IF(COUNTIF(Sheet1!$H:$H, $I$8)&gt;0, 2, IF(COUNTIF(Sheet1!$I:$I, $I$8)&gt;0, 3, IF(COUNTIF(Sheet1!$J:$J, $I$8)&gt;0, 4, 0)))))), "")</f>
        <v/>
      </c>
    </row>
    <row r="87" spans="9:9" x14ac:dyDescent="0.25">
      <c r="I87" s="3" t="str" cm="1">
        <f t="array" ref="I87">IFERROR(IF(E87="", "", INDEX(Sheet1!$G:$J, MATCH(E87, Sheet1!$C:$C, 0), IF(COUNTIF(Sheet1!$G:$G, $I$8)&gt;0, 1, IF(COUNTIF(Sheet1!$H:$H, $I$8)&gt;0, 2, IF(COUNTIF(Sheet1!$I:$I, $I$8)&gt;0, 3, IF(COUNTIF(Sheet1!$J:$J, $I$8)&gt;0, 4, 0)))))), "")</f>
        <v/>
      </c>
    </row>
    <row r="88" spans="9:9" x14ac:dyDescent="0.25">
      <c r="I88" s="3" t="str" cm="1">
        <f t="array" ref="I88">IFERROR(IF(E88="", "", INDEX(Sheet1!$G:$J, MATCH(E88, Sheet1!$C:$C, 0), IF(COUNTIF(Sheet1!$G:$G, $I$8)&gt;0, 1, IF(COUNTIF(Sheet1!$H:$H, $I$8)&gt;0, 2, IF(COUNTIF(Sheet1!$I:$I, $I$8)&gt;0, 3, IF(COUNTIF(Sheet1!$J:$J, $I$8)&gt;0, 4, 0)))))), "")</f>
        <v/>
      </c>
    </row>
    <row r="89" spans="9:9" x14ac:dyDescent="0.25">
      <c r="I89" s="3" t="str" cm="1">
        <f t="array" ref="I89">IFERROR(IF(E89="", "", INDEX(Sheet1!$G:$J, MATCH(E89, Sheet1!$C:$C, 0), IF(COUNTIF(Sheet1!$G:$G, $I$8)&gt;0, 1, IF(COUNTIF(Sheet1!$H:$H, $I$8)&gt;0, 2, IF(COUNTIF(Sheet1!$I:$I, $I$8)&gt;0, 3, IF(COUNTIF(Sheet1!$J:$J, $I$8)&gt;0, 4, 0)))))), "")</f>
        <v/>
      </c>
    </row>
    <row r="90" spans="9:9" x14ac:dyDescent="0.25">
      <c r="I90" s="3" t="str" cm="1">
        <f t="array" ref="I90">IFERROR(IF(E90="", "", INDEX(Sheet1!$G:$J, MATCH(E90, Sheet1!$C:$C, 0), IF(COUNTIF(Sheet1!$G:$G, $I$8)&gt;0, 1, IF(COUNTIF(Sheet1!$H:$H, $I$8)&gt;0, 2, IF(COUNTIF(Sheet1!$I:$I, $I$8)&gt;0, 3, IF(COUNTIF(Sheet1!$J:$J, $I$8)&gt;0, 4, 0)))))), "")</f>
        <v/>
      </c>
    </row>
    <row r="91" spans="9:9" x14ac:dyDescent="0.25">
      <c r="I91" s="3" t="str" cm="1">
        <f t="array" ref="I91">IFERROR(IF(E91="", "", INDEX(Sheet1!$G:$J, MATCH(E91, Sheet1!$C:$C, 0), IF(COUNTIF(Sheet1!$G:$G, $I$8)&gt;0, 1, IF(COUNTIF(Sheet1!$H:$H, $I$8)&gt;0, 2, IF(COUNTIF(Sheet1!$I:$I, $I$8)&gt;0, 3, IF(COUNTIF(Sheet1!$J:$J, $I$8)&gt;0, 4, 0)))))), "")</f>
        <v/>
      </c>
    </row>
    <row r="92" spans="9:9" x14ac:dyDescent="0.25">
      <c r="I92" s="3" t="str" cm="1">
        <f t="array" ref="I92">IFERROR(IF(E92="", "", INDEX(Sheet1!$G:$J, MATCH(E92, Sheet1!$C:$C, 0), IF(COUNTIF(Sheet1!$G:$G, $I$8)&gt;0, 1, IF(COUNTIF(Sheet1!$H:$H, $I$8)&gt;0, 2, IF(COUNTIF(Sheet1!$I:$I, $I$8)&gt;0, 3, IF(COUNTIF(Sheet1!$J:$J, $I$8)&gt;0, 4, 0)))))), "")</f>
        <v/>
      </c>
    </row>
    <row r="93" spans="9:9" x14ac:dyDescent="0.25">
      <c r="I93" s="3" t="str" cm="1">
        <f t="array" ref="I93">IFERROR(IF(E93="", "", INDEX(Sheet1!$G:$J, MATCH(E93, Sheet1!$C:$C, 0), IF(COUNTIF(Sheet1!$G:$G, $I$8)&gt;0, 1, IF(COUNTIF(Sheet1!$H:$H, $I$8)&gt;0, 2, IF(COUNTIF(Sheet1!$I:$I, $I$8)&gt;0, 3, IF(COUNTIF(Sheet1!$J:$J, $I$8)&gt;0, 4, 0)))))), "")</f>
        <v/>
      </c>
    </row>
    <row r="94" spans="9:9" x14ac:dyDescent="0.25">
      <c r="I94" s="3" t="str" cm="1">
        <f t="array" ref="I94">IFERROR(IF(E94="", "", INDEX(Sheet1!$G:$J, MATCH(E94, Sheet1!$C:$C, 0), IF(COUNTIF(Sheet1!$G:$G, $I$8)&gt;0, 1, IF(COUNTIF(Sheet1!$H:$H, $I$8)&gt;0, 2, IF(COUNTIF(Sheet1!$I:$I, $I$8)&gt;0, 3, IF(COUNTIF(Sheet1!$J:$J, $I$8)&gt;0, 4, 0)))))), "")</f>
        <v/>
      </c>
    </row>
    <row r="95" spans="9:9" x14ac:dyDescent="0.25">
      <c r="I95" s="3" t="str" cm="1">
        <f t="array" ref="I95">IFERROR(IF(E95="", "", INDEX(Sheet1!$G:$J, MATCH(E95, Sheet1!$C:$C, 0), IF(COUNTIF(Sheet1!$G:$G, $I$8)&gt;0, 1, IF(COUNTIF(Sheet1!$H:$H, $I$8)&gt;0, 2, IF(COUNTIF(Sheet1!$I:$I, $I$8)&gt;0, 3, IF(COUNTIF(Sheet1!$J:$J, $I$8)&gt;0, 4, 0)))))), "")</f>
        <v/>
      </c>
    </row>
    <row r="96" spans="9:9" x14ac:dyDescent="0.25">
      <c r="I96" s="3" t="str" cm="1">
        <f t="array" ref="I96">IFERROR(IF(E96="", "", INDEX(Sheet1!$G:$J, MATCH(E96, Sheet1!$C:$C, 0), IF(COUNTIF(Sheet1!$G:$G, $I$8)&gt;0, 1, IF(COUNTIF(Sheet1!$H:$H, $I$8)&gt;0, 2, IF(COUNTIF(Sheet1!$I:$I, $I$8)&gt;0, 3, IF(COUNTIF(Sheet1!$J:$J, $I$8)&gt;0, 4, 0)))))), "")</f>
        <v/>
      </c>
    </row>
    <row r="97" spans="9:9" x14ac:dyDescent="0.25">
      <c r="I97" s="3" t="str" cm="1">
        <f t="array" ref="I97">IFERROR(IF(E97="", "", INDEX(Sheet1!$G:$J, MATCH(E97, Sheet1!$C:$C, 0), IF(COUNTIF(Sheet1!$G:$G, $I$8)&gt;0, 1, IF(COUNTIF(Sheet1!$H:$H, $I$8)&gt;0, 2, IF(COUNTIF(Sheet1!$I:$I, $I$8)&gt;0, 3, IF(COUNTIF(Sheet1!$J:$J, $I$8)&gt;0, 4, 0)))))), "")</f>
        <v/>
      </c>
    </row>
    <row r="98" spans="9:9" x14ac:dyDescent="0.25">
      <c r="I98" s="3" t="str" cm="1">
        <f t="array" ref="I98">IFERROR(IF(E98="", "", INDEX(Sheet1!$G:$J, MATCH(E98, Sheet1!$C:$C, 0), IF(COUNTIF(Sheet1!$G:$G, $I$8)&gt;0, 1, IF(COUNTIF(Sheet1!$H:$H, $I$8)&gt;0, 2, IF(COUNTIF(Sheet1!$I:$I, $I$8)&gt;0, 3, IF(COUNTIF(Sheet1!$J:$J, $I$8)&gt;0, 4, 0)))))), "")</f>
        <v/>
      </c>
    </row>
    <row r="99" spans="9:9" x14ac:dyDescent="0.25">
      <c r="I99" s="3" t="str" cm="1">
        <f t="array" ref="I99">IFERROR(IF(E99="", "", INDEX(Sheet1!$G:$J, MATCH(E99, Sheet1!$C:$C, 0), IF(COUNTIF(Sheet1!$G:$G, $I$8)&gt;0, 1, IF(COUNTIF(Sheet1!$H:$H, $I$8)&gt;0, 2, IF(COUNTIF(Sheet1!$I:$I, $I$8)&gt;0, 3, IF(COUNTIF(Sheet1!$J:$J, $I$8)&gt;0, 4, 0)))))), "")</f>
        <v/>
      </c>
    </row>
    <row r="100" spans="9:9" x14ac:dyDescent="0.25">
      <c r="I100" s="3" t="str" cm="1">
        <f t="array" ref="I100">IFERROR(IF(E100="", "", INDEX(Sheet1!$G:$J, MATCH(E100, Sheet1!$C:$C, 0), IF(COUNTIF(Sheet1!$G:$G, $I$8)&gt;0, 1, IF(COUNTIF(Sheet1!$H:$H, $I$8)&gt;0, 2, IF(COUNTIF(Sheet1!$I:$I, $I$8)&gt;0, 3, IF(COUNTIF(Sheet1!$J:$J, $I$8)&gt;0, 4, 0)))))), "")</f>
        <v/>
      </c>
    </row>
    <row r="101" spans="9:9" x14ac:dyDescent="0.25">
      <c r="I101" s="3" t="str" cm="1">
        <f t="array" ref="I101">IFERROR(IF(E101="", "", INDEX(Sheet1!$G:$J, MATCH(E101, Sheet1!$C:$C, 0), IF(COUNTIF(Sheet1!$G:$G, $I$8)&gt;0, 1, IF(COUNTIF(Sheet1!$H:$H, $I$8)&gt;0, 2, IF(COUNTIF(Sheet1!$I:$I, $I$8)&gt;0, 3, IF(COUNTIF(Sheet1!$J:$J, $I$8)&gt;0, 4, 0)))))), "")</f>
        <v/>
      </c>
    </row>
    <row r="102" spans="9:9" x14ac:dyDescent="0.25">
      <c r="I102" s="3" t="str" cm="1">
        <f t="array" ref="I102">IFERROR(IF(E102="", "", INDEX(Sheet1!$G:$J, MATCH(E102, Sheet1!$C:$C, 0), IF(COUNTIF(Sheet1!$G:$G, $I$8)&gt;0, 1, IF(COUNTIF(Sheet1!$H:$H, $I$8)&gt;0, 2, IF(COUNTIF(Sheet1!$I:$I, $I$8)&gt;0, 3, IF(COUNTIF(Sheet1!$J:$J, $I$8)&gt;0, 4, 0)))))), "")</f>
        <v/>
      </c>
    </row>
    <row r="103" spans="9:9" x14ac:dyDescent="0.25">
      <c r="I103" s="3" t="str" cm="1">
        <f t="array" ref="I103">IFERROR(IF(E103="", "", INDEX(Sheet1!$G:$J, MATCH(E103, Sheet1!$C:$C, 0), IF(COUNTIF(Sheet1!$G:$G, $I$8)&gt;0, 1, IF(COUNTIF(Sheet1!$H:$H, $I$8)&gt;0, 2, IF(COUNTIF(Sheet1!$I:$I, $I$8)&gt;0, 3, IF(COUNTIF(Sheet1!$J:$J, $I$8)&gt;0, 4, 0)))))), "")</f>
        <v/>
      </c>
    </row>
    <row r="104" spans="9:9" x14ac:dyDescent="0.25">
      <c r="I104" s="3" t="str" cm="1">
        <f t="array" ref="I104">IFERROR(IF(E104="", "", INDEX(Sheet1!$G:$J, MATCH(E104, Sheet1!$C:$C, 0), IF(COUNTIF(Sheet1!$G:$G, $I$8)&gt;0, 1, IF(COUNTIF(Sheet1!$H:$H, $I$8)&gt;0, 2, IF(COUNTIF(Sheet1!$I:$I, $I$8)&gt;0, 3, IF(COUNTIF(Sheet1!$J:$J, $I$8)&gt;0, 4, 0)))))), "")</f>
        <v/>
      </c>
    </row>
    <row r="105" spans="9:9" x14ac:dyDescent="0.25">
      <c r="I105" s="3" t="str" cm="1">
        <f t="array" ref="I105">IFERROR(IF(E105="", "", INDEX(Sheet1!$G:$J, MATCH(E105, Sheet1!$C:$C, 0), IF(COUNTIF(Sheet1!$G:$G, $I$8)&gt;0, 1, IF(COUNTIF(Sheet1!$H:$H, $I$8)&gt;0, 2, IF(COUNTIF(Sheet1!$I:$I, $I$8)&gt;0, 3, IF(COUNTIF(Sheet1!$J:$J, $I$8)&gt;0, 4, 0)))))), "")</f>
        <v/>
      </c>
    </row>
    <row r="106" spans="9:9" x14ac:dyDescent="0.25">
      <c r="I106" s="3" t="str" cm="1">
        <f t="array" ref="I106">IFERROR(IF(E106="", "", INDEX(Sheet1!$G:$J, MATCH(E106, Sheet1!$C:$C, 0), IF(COUNTIF(Sheet1!$G:$G, $I$8)&gt;0, 1, IF(COUNTIF(Sheet1!$H:$H, $I$8)&gt;0, 2, IF(COUNTIF(Sheet1!$I:$I, $I$8)&gt;0, 3, IF(COUNTIF(Sheet1!$J:$J, $I$8)&gt;0, 4, 0)))))), "")</f>
        <v/>
      </c>
    </row>
    <row r="107" spans="9:9" x14ac:dyDescent="0.25">
      <c r="I107" s="3" t="str" cm="1">
        <f t="array" ref="I107">IFERROR(IF(E107="", "", INDEX(Sheet1!$G:$J, MATCH(E107, Sheet1!$C:$C, 0), IF(COUNTIF(Sheet1!$G:$G, $I$8)&gt;0, 1, IF(COUNTIF(Sheet1!$H:$H, $I$8)&gt;0, 2, IF(COUNTIF(Sheet1!$I:$I, $I$8)&gt;0, 3, IF(COUNTIF(Sheet1!$J:$J, $I$8)&gt;0, 4, 0)))))), "")</f>
        <v/>
      </c>
    </row>
    <row r="108" spans="9:9" x14ac:dyDescent="0.25">
      <c r="I108" s="3" t="str" cm="1">
        <f t="array" ref="I108">IFERROR(IF(E108="", "", INDEX(Sheet1!$G:$J, MATCH(E108, Sheet1!$C:$C, 0), IF(COUNTIF(Sheet1!$G:$G, $I$8)&gt;0, 1, IF(COUNTIF(Sheet1!$H:$H, $I$8)&gt;0, 2, IF(COUNTIF(Sheet1!$I:$I, $I$8)&gt;0, 3, IF(COUNTIF(Sheet1!$J:$J, $I$8)&gt;0, 4, 0)))))), "")</f>
        <v/>
      </c>
    </row>
    <row r="109" spans="9:9" x14ac:dyDescent="0.25">
      <c r="I109" s="3" t="str" cm="1">
        <f t="array" ref="I109">IFERROR(IF(E109="", "", INDEX(Sheet1!$G:$J, MATCH(E109, Sheet1!$C:$C, 0), IF(COUNTIF(Sheet1!$G:$G, $I$8)&gt;0, 1, IF(COUNTIF(Sheet1!$H:$H, $I$8)&gt;0, 2, IF(COUNTIF(Sheet1!$I:$I, $I$8)&gt;0, 3, IF(COUNTIF(Sheet1!$J:$J, $I$8)&gt;0, 4, 0)))))), "")</f>
        <v/>
      </c>
    </row>
    <row r="110" spans="9:9" x14ac:dyDescent="0.25">
      <c r="I110" s="3" t="str" cm="1">
        <f t="array" ref="I110">IFERROR(IF(E110="", "", INDEX(Sheet1!$G:$J, MATCH(E110, Sheet1!$C:$C, 0), IF(COUNTIF(Sheet1!$G:$G, $I$8)&gt;0, 1, IF(COUNTIF(Sheet1!$H:$H, $I$8)&gt;0, 2, IF(COUNTIF(Sheet1!$I:$I, $I$8)&gt;0, 3, IF(COUNTIF(Sheet1!$J:$J, $I$8)&gt;0, 4, 0)))))), "")</f>
        <v/>
      </c>
    </row>
    <row r="111" spans="9:9" x14ac:dyDescent="0.25">
      <c r="I111" s="3" t="str" cm="1">
        <f t="array" ref="I111">IFERROR(IF(E111="", "", INDEX(Sheet1!$G:$J, MATCH(E111, Sheet1!$C:$C, 0), IF(COUNTIF(Sheet1!$G:$G, $I$8)&gt;0, 1, IF(COUNTIF(Sheet1!$H:$H, $I$8)&gt;0, 2, IF(COUNTIF(Sheet1!$I:$I, $I$8)&gt;0, 3, IF(COUNTIF(Sheet1!$J:$J, $I$8)&gt;0, 4, 0)))))), "")</f>
        <v/>
      </c>
    </row>
    <row r="112" spans="9:9" x14ac:dyDescent="0.25">
      <c r="I112" s="3" t="str" cm="1">
        <f t="array" ref="I112">IFERROR(IF(E112="", "", INDEX(Sheet1!$G:$J, MATCH(E112, Sheet1!$C:$C, 0), IF(COUNTIF(Sheet1!$G:$G, $I$8)&gt;0, 1, IF(COUNTIF(Sheet1!$H:$H, $I$8)&gt;0, 2, IF(COUNTIF(Sheet1!$I:$I, $I$8)&gt;0, 3, IF(COUNTIF(Sheet1!$J:$J, $I$8)&gt;0, 4, 0)))))), "")</f>
        <v/>
      </c>
    </row>
    <row r="113" spans="9:9" x14ac:dyDescent="0.25">
      <c r="I113" s="3" t="str" cm="1">
        <f t="array" ref="I113">IFERROR(IF(E113="", "", INDEX(Sheet1!$G:$J, MATCH(E113, Sheet1!$C:$C, 0), IF(COUNTIF(Sheet1!$G:$G, $I$8)&gt;0, 1, IF(COUNTIF(Sheet1!$H:$H, $I$8)&gt;0, 2, IF(COUNTIF(Sheet1!$I:$I, $I$8)&gt;0, 3, IF(COUNTIF(Sheet1!$J:$J, $I$8)&gt;0, 4, 0)))))), "")</f>
        <v/>
      </c>
    </row>
    <row r="114" spans="9:9" x14ac:dyDescent="0.25">
      <c r="I114" s="3" t="str" cm="1">
        <f t="array" ref="I114">IFERROR(IF(E114="", "", INDEX(Sheet1!$G:$J, MATCH(E114, Sheet1!$C:$C, 0), IF(COUNTIF(Sheet1!$G:$G, $I$8)&gt;0, 1, IF(COUNTIF(Sheet1!$H:$H, $I$8)&gt;0, 2, IF(COUNTIF(Sheet1!$I:$I, $I$8)&gt;0, 3, IF(COUNTIF(Sheet1!$J:$J, $I$8)&gt;0, 4, 0)))))), "")</f>
        <v/>
      </c>
    </row>
    <row r="115" spans="9:9" x14ac:dyDescent="0.25">
      <c r="I115" s="3" t="str" cm="1">
        <f t="array" ref="I115">IFERROR(IF(E115="", "", INDEX(Sheet1!$G:$J, MATCH(E115, Sheet1!$C:$C, 0), IF(COUNTIF(Sheet1!$G:$G, $I$8)&gt;0, 1, IF(COUNTIF(Sheet1!$H:$H, $I$8)&gt;0, 2, IF(COUNTIF(Sheet1!$I:$I, $I$8)&gt;0, 3, IF(COUNTIF(Sheet1!$J:$J, $I$8)&gt;0, 4, 0)))))), "")</f>
        <v/>
      </c>
    </row>
    <row r="116" spans="9:9" x14ac:dyDescent="0.25">
      <c r="I116" s="3" t="str" cm="1">
        <f t="array" ref="I116">IFERROR(IF(E116="", "", INDEX(Sheet1!$G:$J, MATCH(E116, Sheet1!$C:$C, 0), IF(COUNTIF(Sheet1!$G:$G, $I$8)&gt;0, 1, IF(COUNTIF(Sheet1!$H:$H, $I$8)&gt;0, 2, IF(COUNTIF(Sheet1!$I:$I, $I$8)&gt;0, 3, IF(COUNTIF(Sheet1!$J:$J, $I$8)&gt;0, 4, 0)))))), "")</f>
        <v/>
      </c>
    </row>
    <row r="117" spans="9:9" x14ac:dyDescent="0.25">
      <c r="I117" s="3" t="str" cm="1">
        <f t="array" ref="I117">IFERROR(IF(E117="", "", INDEX(Sheet1!$G:$J, MATCH(E117, Sheet1!$C:$C, 0), IF(COUNTIF(Sheet1!$G:$G, $I$8)&gt;0, 1, IF(COUNTIF(Sheet1!$H:$H, $I$8)&gt;0, 2, IF(COUNTIF(Sheet1!$I:$I, $I$8)&gt;0, 3, IF(COUNTIF(Sheet1!$J:$J, $I$8)&gt;0, 4, 0)))))), "")</f>
        <v/>
      </c>
    </row>
    <row r="118" spans="9:9" x14ac:dyDescent="0.25">
      <c r="I118" s="3" t="str" cm="1">
        <f t="array" ref="I118">IFERROR(IF(E118="", "", INDEX(Sheet1!$G:$J, MATCH(E118, Sheet1!$C:$C, 0), IF(COUNTIF(Sheet1!$G:$G, $I$8)&gt;0, 1, IF(COUNTIF(Sheet1!$H:$H, $I$8)&gt;0, 2, IF(COUNTIF(Sheet1!$I:$I, $I$8)&gt;0, 3, IF(COUNTIF(Sheet1!$J:$J, $I$8)&gt;0, 4, 0)))))), "")</f>
        <v/>
      </c>
    </row>
    <row r="119" spans="9:9" x14ac:dyDescent="0.25">
      <c r="I119" s="3" t="str" cm="1">
        <f t="array" ref="I119">IFERROR(IF(E119="", "", INDEX(Sheet1!$G:$J, MATCH(E119, Sheet1!$C:$C, 0), IF(COUNTIF(Sheet1!$G:$G, $I$8)&gt;0, 1, IF(COUNTIF(Sheet1!$H:$H, $I$8)&gt;0, 2, IF(COUNTIF(Sheet1!$I:$I, $I$8)&gt;0, 3, IF(COUNTIF(Sheet1!$J:$J, $I$8)&gt;0, 4, 0)))))), "")</f>
        <v/>
      </c>
    </row>
    <row r="120" spans="9:9" x14ac:dyDescent="0.25">
      <c r="I120" s="3" t="str" cm="1">
        <f t="array" ref="I120">IFERROR(IF(E120="", "", INDEX(Sheet1!$G:$J, MATCH(E120, Sheet1!$C:$C, 0), IF(COUNTIF(Sheet1!$G:$G, $I$8)&gt;0, 1, IF(COUNTIF(Sheet1!$H:$H, $I$8)&gt;0, 2, IF(COUNTIF(Sheet1!$I:$I, $I$8)&gt;0, 3, IF(COUNTIF(Sheet1!$J:$J, $I$8)&gt;0, 4, 0)))))), "")</f>
        <v/>
      </c>
    </row>
    <row r="121" spans="9:9" x14ac:dyDescent="0.25">
      <c r="I121" s="3" t="str" cm="1">
        <f t="array" ref="I121">IFERROR(IF(E121="", "", INDEX(Sheet1!$G:$J, MATCH(E121, Sheet1!$C:$C, 0), IF(COUNTIF(Sheet1!$G:$G, $I$8)&gt;0, 1, IF(COUNTIF(Sheet1!$H:$H, $I$8)&gt;0, 2, IF(COUNTIF(Sheet1!$I:$I, $I$8)&gt;0, 3, IF(COUNTIF(Sheet1!$J:$J, $I$8)&gt;0, 4, 0)))))), "")</f>
        <v/>
      </c>
    </row>
    <row r="122" spans="9:9" x14ac:dyDescent="0.25">
      <c r="I122" s="3" t="str" cm="1">
        <f t="array" ref="I122">IFERROR(IF(E122="", "", INDEX(Sheet1!$G:$J, MATCH(E122, Sheet1!$C:$C, 0), IF(COUNTIF(Sheet1!$G:$G, $I$8)&gt;0, 1, IF(COUNTIF(Sheet1!$H:$H, $I$8)&gt;0, 2, IF(COUNTIF(Sheet1!$I:$I, $I$8)&gt;0, 3, IF(COUNTIF(Sheet1!$J:$J, $I$8)&gt;0, 4, 0)))))), "")</f>
        <v/>
      </c>
    </row>
    <row r="123" spans="9:9" x14ac:dyDescent="0.25">
      <c r="I123" s="3" t="str" cm="1">
        <f t="array" ref="I123">IFERROR(IF(E123="", "", INDEX(Sheet1!$G:$J, MATCH(E123, Sheet1!$C:$C, 0), IF(COUNTIF(Sheet1!$G:$G, $I$8)&gt;0, 1, IF(COUNTIF(Sheet1!$H:$H, $I$8)&gt;0, 2, IF(COUNTIF(Sheet1!$I:$I, $I$8)&gt;0, 3, IF(COUNTIF(Sheet1!$J:$J, $I$8)&gt;0, 4, 0)))))), "")</f>
        <v/>
      </c>
    </row>
    <row r="124" spans="9:9" x14ac:dyDescent="0.25">
      <c r="I124" s="3" t="str" cm="1">
        <f t="array" ref="I124">IFERROR(IF(E124="", "", INDEX(Sheet1!$G:$J, MATCH(E124, Sheet1!$C:$C, 0), IF(COUNTIF(Sheet1!$G:$G, $I$8)&gt;0, 1, IF(COUNTIF(Sheet1!$H:$H, $I$8)&gt;0, 2, IF(COUNTIF(Sheet1!$I:$I, $I$8)&gt;0, 3, IF(COUNTIF(Sheet1!$J:$J, $I$8)&gt;0, 4, 0)))))), "")</f>
        <v/>
      </c>
    </row>
    <row r="125" spans="9:9" x14ac:dyDescent="0.25">
      <c r="I125" s="3" t="str" cm="1">
        <f t="array" ref="I125">IFERROR(IF(E125="", "", INDEX(Sheet1!$G:$J, MATCH(E125, Sheet1!$C:$C, 0), IF(COUNTIF(Sheet1!$G:$G, $I$8)&gt;0, 1, IF(COUNTIF(Sheet1!$H:$H, $I$8)&gt;0, 2, IF(COUNTIF(Sheet1!$I:$I, $I$8)&gt;0, 3, IF(COUNTIF(Sheet1!$J:$J, $I$8)&gt;0, 4, 0)))))), "")</f>
        <v/>
      </c>
    </row>
    <row r="126" spans="9:9" x14ac:dyDescent="0.25">
      <c r="I126" s="3" t="str" cm="1">
        <f t="array" ref="I126">IFERROR(IF(E126="", "", INDEX(Sheet1!$G:$J, MATCH(E126, Sheet1!$C:$C, 0), IF(COUNTIF(Sheet1!$G:$G, $I$8)&gt;0, 1, IF(COUNTIF(Sheet1!$H:$H, $I$8)&gt;0, 2, IF(COUNTIF(Sheet1!$I:$I, $I$8)&gt;0, 3, IF(COUNTIF(Sheet1!$J:$J, $I$8)&gt;0, 4, 0)))))), "")</f>
        <v/>
      </c>
    </row>
    <row r="127" spans="9:9" x14ac:dyDescent="0.25">
      <c r="I127" s="3" t="str" cm="1">
        <f t="array" ref="I127">IFERROR(IF(E127="", "", INDEX(Sheet1!$G:$J, MATCH(E127, Sheet1!$C:$C, 0), IF(COUNTIF(Sheet1!$G:$G, $I$8)&gt;0, 1, IF(COUNTIF(Sheet1!$H:$H, $I$8)&gt;0, 2, IF(COUNTIF(Sheet1!$I:$I, $I$8)&gt;0, 3, IF(COUNTIF(Sheet1!$J:$J, $I$8)&gt;0, 4, 0)))))), "")</f>
        <v/>
      </c>
    </row>
    <row r="128" spans="9:9" x14ac:dyDescent="0.25">
      <c r="I128" s="3" t="str" cm="1">
        <f t="array" ref="I128">IFERROR(IF(E128="", "", INDEX(Sheet1!$G:$J, MATCH(E128, Sheet1!$C:$C, 0), IF(COUNTIF(Sheet1!$G:$G, $I$8)&gt;0, 1, IF(COUNTIF(Sheet1!$H:$H, $I$8)&gt;0, 2, IF(COUNTIF(Sheet1!$I:$I, $I$8)&gt;0, 3, IF(COUNTIF(Sheet1!$J:$J, $I$8)&gt;0, 4, 0)))))), "")</f>
        <v/>
      </c>
    </row>
    <row r="129" spans="9:9" x14ac:dyDescent="0.25">
      <c r="I129" s="3" t="str" cm="1">
        <f t="array" ref="I129">IFERROR(IF(E129="", "", INDEX(Sheet1!$G:$J, MATCH(E129, Sheet1!$C:$C, 0), IF(COUNTIF(Sheet1!$G:$G, $I$8)&gt;0, 1, IF(COUNTIF(Sheet1!$H:$H, $I$8)&gt;0, 2, IF(COUNTIF(Sheet1!$I:$I, $I$8)&gt;0, 3, IF(COUNTIF(Sheet1!$J:$J, $I$8)&gt;0, 4, 0)))))), "")</f>
        <v/>
      </c>
    </row>
    <row r="130" spans="9:9" x14ac:dyDescent="0.25">
      <c r="I130" s="3" t="str" cm="1">
        <f t="array" ref="I130">IFERROR(IF(E130="", "", INDEX(Sheet1!$G:$J, MATCH(E130, Sheet1!$C:$C, 0), IF(COUNTIF(Sheet1!$G:$G, $I$8)&gt;0, 1, IF(COUNTIF(Sheet1!$H:$H, $I$8)&gt;0, 2, IF(COUNTIF(Sheet1!$I:$I, $I$8)&gt;0, 3, IF(COUNTIF(Sheet1!$J:$J, $I$8)&gt;0, 4, 0)))))), "")</f>
        <v/>
      </c>
    </row>
    <row r="131" spans="9:9" x14ac:dyDescent="0.25">
      <c r="I131" s="3" t="str" cm="1">
        <f t="array" ref="I131">IFERROR(IF(E131="", "", INDEX(Sheet1!$G:$J, MATCH(E131, Sheet1!$C:$C, 0), IF(COUNTIF(Sheet1!$G:$G, $I$8)&gt;0, 1, IF(COUNTIF(Sheet1!$H:$H, $I$8)&gt;0, 2, IF(COUNTIF(Sheet1!$I:$I, $I$8)&gt;0, 3, IF(COUNTIF(Sheet1!$J:$J, $I$8)&gt;0, 4, 0)))))), "")</f>
        <v/>
      </c>
    </row>
    <row r="132" spans="9:9" x14ac:dyDescent="0.25">
      <c r="I132" s="3" t="str" cm="1">
        <f t="array" ref="I132">IFERROR(IF(E132="", "", INDEX(Sheet1!$G:$J, MATCH(E132, Sheet1!$C:$C, 0), IF(COUNTIF(Sheet1!$G:$G, $I$8)&gt;0, 1, IF(COUNTIF(Sheet1!$H:$H, $I$8)&gt;0, 2, IF(COUNTIF(Sheet1!$I:$I, $I$8)&gt;0, 3, IF(COUNTIF(Sheet1!$J:$J, $I$8)&gt;0, 4, 0)))))), "")</f>
        <v/>
      </c>
    </row>
    <row r="133" spans="9:9" x14ac:dyDescent="0.25">
      <c r="I133" s="3" t="str" cm="1">
        <f t="array" ref="I133">IFERROR(IF(E133="", "", INDEX(Sheet1!$G:$J, MATCH(E133, Sheet1!$C:$C, 0), IF(COUNTIF(Sheet1!$G:$G, $I$8)&gt;0, 1, IF(COUNTIF(Sheet1!$H:$H, $I$8)&gt;0, 2, IF(COUNTIF(Sheet1!$I:$I, $I$8)&gt;0, 3, IF(COUNTIF(Sheet1!$J:$J, $I$8)&gt;0, 4, 0)))))), "")</f>
        <v/>
      </c>
    </row>
    <row r="134" spans="9:9" x14ac:dyDescent="0.25">
      <c r="I134" s="3" t="str" cm="1">
        <f t="array" ref="I134">IFERROR(IF(E134="", "", INDEX(Sheet1!$G:$J, MATCH(E134, Sheet1!$C:$C, 0), IF(COUNTIF(Sheet1!$G:$G, $I$8)&gt;0, 1, IF(COUNTIF(Sheet1!$H:$H, $I$8)&gt;0, 2, IF(COUNTIF(Sheet1!$I:$I, $I$8)&gt;0, 3, IF(COUNTIF(Sheet1!$J:$J, $I$8)&gt;0, 4, 0)))))), "")</f>
        <v/>
      </c>
    </row>
    <row r="135" spans="9:9" x14ac:dyDescent="0.25">
      <c r="I135" s="3" t="str" cm="1">
        <f t="array" ref="I135">IFERROR(IF(E135="", "", INDEX(Sheet1!$G:$J, MATCH(E135, Sheet1!$C:$C, 0), IF(COUNTIF(Sheet1!$G:$G, $I$8)&gt;0, 1, IF(COUNTIF(Sheet1!$H:$H, $I$8)&gt;0, 2, IF(COUNTIF(Sheet1!$I:$I, $I$8)&gt;0, 3, IF(COUNTIF(Sheet1!$J:$J, $I$8)&gt;0, 4, 0)))))), "")</f>
        <v/>
      </c>
    </row>
    <row r="136" spans="9:9" x14ac:dyDescent="0.25">
      <c r="I136" s="3" t="str" cm="1">
        <f t="array" ref="I136">IFERROR(IF(E136="", "", INDEX(Sheet1!$G:$J, MATCH(E136, Sheet1!$C:$C, 0), IF(COUNTIF(Sheet1!$G:$G, $I$8)&gt;0, 1, IF(COUNTIF(Sheet1!$H:$H, $I$8)&gt;0, 2, IF(COUNTIF(Sheet1!$I:$I, $I$8)&gt;0, 3, IF(COUNTIF(Sheet1!$J:$J, $I$8)&gt;0, 4, 0)))))), "")</f>
        <v/>
      </c>
    </row>
    <row r="137" spans="9:9" x14ac:dyDescent="0.25">
      <c r="I137" s="3" t="str" cm="1">
        <f t="array" ref="I137">IFERROR(IF(E137="", "", INDEX(Sheet1!$G:$J, MATCH(E137, Sheet1!$C:$C, 0), IF(COUNTIF(Sheet1!$G:$G, $I$8)&gt;0, 1, IF(COUNTIF(Sheet1!$H:$H, $I$8)&gt;0, 2, IF(COUNTIF(Sheet1!$I:$I, $I$8)&gt;0, 3, IF(COUNTIF(Sheet1!$J:$J, $I$8)&gt;0, 4, 0)))))), "")</f>
        <v/>
      </c>
    </row>
    <row r="138" spans="9:9" x14ac:dyDescent="0.25">
      <c r="I138" s="3" t="str" cm="1">
        <f t="array" ref="I138">IFERROR(IF(E138="", "", INDEX(Sheet1!$G:$J, MATCH(E138, Sheet1!$C:$C, 0), IF(COUNTIF(Sheet1!$G:$G, $I$8)&gt;0, 1, IF(COUNTIF(Sheet1!$H:$H, $I$8)&gt;0, 2, IF(COUNTIF(Sheet1!$I:$I, $I$8)&gt;0, 3, IF(COUNTIF(Sheet1!$J:$J, $I$8)&gt;0, 4, 0)))))), "")</f>
        <v/>
      </c>
    </row>
    <row r="139" spans="9:9" x14ac:dyDescent="0.25">
      <c r="I139" s="3" t="str" cm="1">
        <f t="array" ref="I139">IFERROR(IF(E139="", "", INDEX(Sheet1!$G:$J, MATCH(E139, Sheet1!$C:$C, 0), IF(COUNTIF(Sheet1!$G:$G, $I$8)&gt;0, 1, IF(COUNTIF(Sheet1!$H:$H, $I$8)&gt;0, 2, IF(COUNTIF(Sheet1!$I:$I, $I$8)&gt;0, 3, IF(COUNTIF(Sheet1!$J:$J, $I$8)&gt;0, 4, 0)))))), "")</f>
        <v/>
      </c>
    </row>
    <row r="140" spans="9:9" x14ac:dyDescent="0.25">
      <c r="I140" s="3" t="str" cm="1">
        <f t="array" ref="I140">IFERROR(IF(E140="", "", INDEX(Sheet1!$G:$J, MATCH(E140, Sheet1!$C:$C, 0), IF(COUNTIF(Sheet1!$G:$G, $I$8)&gt;0, 1, IF(COUNTIF(Sheet1!$H:$H, $I$8)&gt;0, 2, IF(COUNTIF(Sheet1!$I:$I, $I$8)&gt;0, 3, IF(COUNTIF(Sheet1!$J:$J, $I$8)&gt;0, 4, 0)))))), "")</f>
        <v/>
      </c>
    </row>
    <row r="141" spans="9:9" x14ac:dyDescent="0.25">
      <c r="I141" s="3" t="str" cm="1">
        <f t="array" ref="I141">IFERROR(IF(E141="", "", INDEX(Sheet1!$G:$J, MATCH(E141, Sheet1!$C:$C, 0), IF(COUNTIF(Sheet1!$G:$G, $I$8)&gt;0, 1, IF(COUNTIF(Sheet1!$H:$H, $I$8)&gt;0, 2, IF(COUNTIF(Sheet1!$I:$I, $I$8)&gt;0, 3, IF(COUNTIF(Sheet1!$J:$J, $I$8)&gt;0, 4, 0)))))), "")</f>
        <v/>
      </c>
    </row>
    <row r="142" spans="9:9" x14ac:dyDescent="0.25">
      <c r="I142" s="3" t="str" cm="1">
        <f t="array" ref="I142">IFERROR(IF(E142="", "", INDEX(Sheet1!$G:$J, MATCH(E142, Sheet1!$C:$C, 0), IF(COUNTIF(Sheet1!$G:$G, $I$8)&gt;0, 1, IF(COUNTIF(Sheet1!$H:$H, $I$8)&gt;0, 2, IF(COUNTIF(Sheet1!$I:$I, $I$8)&gt;0, 3, IF(COUNTIF(Sheet1!$J:$J, $I$8)&gt;0, 4, 0)))))), "")</f>
        <v/>
      </c>
    </row>
    <row r="143" spans="9:9" x14ac:dyDescent="0.25">
      <c r="I143" s="3" t="str" cm="1">
        <f t="array" ref="I143">IFERROR(IF(E143="", "", INDEX(Sheet1!$G:$J, MATCH(E143, Sheet1!$C:$C, 0), IF(COUNTIF(Sheet1!$G:$G, $I$8)&gt;0, 1, IF(COUNTIF(Sheet1!$H:$H, $I$8)&gt;0, 2, IF(COUNTIF(Sheet1!$I:$I, $I$8)&gt;0, 3, IF(COUNTIF(Sheet1!$J:$J, $I$8)&gt;0, 4, 0)))))), "")</f>
        <v/>
      </c>
    </row>
    <row r="144" spans="9:9" x14ac:dyDescent="0.25">
      <c r="I144" s="3" t="str" cm="1">
        <f t="array" ref="I144">IFERROR(IF(E144="", "", INDEX(Sheet1!$G:$J, MATCH(E144, Sheet1!$C:$C, 0), IF(COUNTIF(Sheet1!$G:$G, $I$8)&gt;0, 1, IF(COUNTIF(Sheet1!$H:$H, $I$8)&gt;0, 2, IF(COUNTIF(Sheet1!$I:$I, $I$8)&gt;0, 3, IF(COUNTIF(Sheet1!$J:$J, $I$8)&gt;0, 4, 0)))))), "")</f>
        <v/>
      </c>
    </row>
    <row r="145" spans="9:9" x14ac:dyDescent="0.25">
      <c r="I145" s="3" t="str" cm="1">
        <f t="array" ref="I145">IFERROR(IF(E145="", "", INDEX(Sheet1!$G:$J, MATCH(E145, Sheet1!$C:$C, 0), IF(COUNTIF(Sheet1!$G:$G, $I$8)&gt;0, 1, IF(COUNTIF(Sheet1!$H:$H, $I$8)&gt;0, 2, IF(COUNTIF(Sheet1!$I:$I, $I$8)&gt;0, 3, IF(COUNTIF(Sheet1!$J:$J, $I$8)&gt;0, 4, 0)))))), "")</f>
        <v/>
      </c>
    </row>
    <row r="146" spans="9:9" x14ac:dyDescent="0.25">
      <c r="I146" s="3" t="str" cm="1">
        <f t="array" ref="I146">IFERROR(IF(E146="", "", INDEX(Sheet1!$G:$J, MATCH(E146, Sheet1!$C:$C, 0), IF(COUNTIF(Sheet1!$G:$G, $I$8)&gt;0, 1, IF(COUNTIF(Sheet1!$H:$H, $I$8)&gt;0, 2, IF(COUNTIF(Sheet1!$I:$I, $I$8)&gt;0, 3, IF(COUNTIF(Sheet1!$J:$J, $I$8)&gt;0, 4, 0)))))), "")</f>
        <v/>
      </c>
    </row>
    <row r="147" spans="9:9" x14ac:dyDescent="0.25">
      <c r="I147" s="3" t="str" cm="1">
        <f t="array" ref="I147">IFERROR(IF(E147="", "", INDEX(Sheet1!$G:$J, MATCH(E147, Sheet1!$C:$C, 0), IF(COUNTIF(Sheet1!$G:$G, $I$8)&gt;0, 1, IF(COUNTIF(Sheet1!$H:$H, $I$8)&gt;0, 2, IF(COUNTIF(Sheet1!$I:$I, $I$8)&gt;0, 3, IF(COUNTIF(Sheet1!$J:$J, $I$8)&gt;0, 4, 0)))))), "")</f>
        <v/>
      </c>
    </row>
    <row r="148" spans="9:9" x14ac:dyDescent="0.25">
      <c r="I148" s="3" t="str" cm="1">
        <f t="array" ref="I148">IFERROR(IF(E148="", "", INDEX(Sheet1!$G:$J, MATCH(E148, Sheet1!$C:$C, 0), IF(COUNTIF(Sheet1!$G:$G, $I$8)&gt;0, 1, IF(COUNTIF(Sheet1!$H:$H, $I$8)&gt;0, 2, IF(COUNTIF(Sheet1!$I:$I, $I$8)&gt;0, 3, IF(COUNTIF(Sheet1!$J:$J, $I$8)&gt;0, 4, 0)))))), "")</f>
        <v/>
      </c>
    </row>
    <row r="149" spans="9:9" x14ac:dyDescent="0.25">
      <c r="I149" s="3" t="str" cm="1">
        <f t="array" ref="I149">IFERROR(IF(E149="", "", INDEX(Sheet1!$G:$J, MATCH(E149, Sheet1!$C:$C, 0), IF(COUNTIF(Sheet1!$G:$G, $I$8)&gt;0, 1, IF(COUNTIF(Sheet1!$H:$H, $I$8)&gt;0, 2, IF(COUNTIF(Sheet1!$I:$I, $I$8)&gt;0, 3, IF(COUNTIF(Sheet1!$J:$J, $I$8)&gt;0, 4, 0)))))), "")</f>
        <v/>
      </c>
    </row>
    <row r="150" spans="9:9" x14ac:dyDescent="0.25">
      <c r="I150" s="3" t="str" cm="1">
        <f t="array" ref="I150">IFERROR(IF(E150="", "", INDEX(Sheet1!$G:$J, MATCH(E150, Sheet1!$C:$C, 0), IF(COUNTIF(Sheet1!$G:$G, $I$8)&gt;0, 1, IF(COUNTIF(Sheet1!$H:$H, $I$8)&gt;0, 2, IF(COUNTIF(Sheet1!$I:$I, $I$8)&gt;0, 3, IF(COUNTIF(Sheet1!$J:$J, $I$8)&gt;0, 4, 0)))))), "")</f>
        <v/>
      </c>
    </row>
    <row r="151" spans="9:9" x14ac:dyDescent="0.25">
      <c r="I151" s="3" t="str" cm="1">
        <f t="array" ref="I151">IFERROR(IF(E151="", "", INDEX(Sheet1!$G:$J, MATCH(E151, Sheet1!$C:$C, 0), IF(COUNTIF(Sheet1!$G:$G, $I$8)&gt;0, 1, IF(COUNTIF(Sheet1!$H:$H, $I$8)&gt;0, 2, IF(COUNTIF(Sheet1!$I:$I, $I$8)&gt;0, 3, IF(COUNTIF(Sheet1!$J:$J, $I$8)&gt;0, 4, 0)))))), "")</f>
        <v/>
      </c>
    </row>
    <row r="152" spans="9:9" x14ac:dyDescent="0.25">
      <c r="I152" s="3" t="str" cm="1">
        <f t="array" ref="I152">IFERROR(IF(E152="", "", INDEX(Sheet1!$G:$J, MATCH(E152, Sheet1!$C:$C, 0), IF(COUNTIF(Sheet1!$G:$G, $I$8)&gt;0, 1, IF(COUNTIF(Sheet1!$H:$H, $I$8)&gt;0, 2, IF(COUNTIF(Sheet1!$I:$I, $I$8)&gt;0, 3, IF(COUNTIF(Sheet1!$J:$J, $I$8)&gt;0, 4, 0)))))), "")</f>
        <v/>
      </c>
    </row>
    <row r="153" spans="9:9" x14ac:dyDescent="0.25">
      <c r="I153" s="3" t="str" cm="1">
        <f t="array" ref="I153">IFERROR(IF(E153="", "", INDEX(Sheet1!$G:$J, MATCH(E153, Sheet1!$C:$C, 0), IF(COUNTIF(Sheet1!$G:$G, $I$8)&gt;0, 1, IF(COUNTIF(Sheet1!$H:$H, $I$8)&gt;0, 2, IF(COUNTIF(Sheet1!$I:$I, $I$8)&gt;0, 3, IF(COUNTIF(Sheet1!$J:$J, $I$8)&gt;0, 4, 0)))))), "")</f>
        <v/>
      </c>
    </row>
    <row r="154" spans="9:9" x14ac:dyDescent="0.25">
      <c r="I154" s="3" t="str" cm="1">
        <f t="array" ref="I154">IFERROR(IF(E154="", "", INDEX(Sheet1!$G:$J, MATCH(E154, Sheet1!$C:$C, 0), IF(COUNTIF(Sheet1!$G:$G, $I$8)&gt;0, 1, IF(COUNTIF(Sheet1!$H:$H, $I$8)&gt;0, 2, IF(COUNTIF(Sheet1!$I:$I, $I$8)&gt;0, 3, IF(COUNTIF(Sheet1!$J:$J, $I$8)&gt;0, 4, 0)))))), "")</f>
        <v/>
      </c>
    </row>
    <row r="155" spans="9:9" x14ac:dyDescent="0.25">
      <c r="I155" s="3" t="str" cm="1">
        <f t="array" ref="I155">IFERROR(IF(E155="", "", INDEX(Sheet1!$G:$J, MATCH(E155, Sheet1!$C:$C, 0), IF(COUNTIF(Sheet1!$G:$G, $I$8)&gt;0, 1, IF(COUNTIF(Sheet1!$H:$H, $I$8)&gt;0, 2, IF(COUNTIF(Sheet1!$I:$I, $I$8)&gt;0, 3, IF(COUNTIF(Sheet1!$J:$J, $I$8)&gt;0, 4, 0)))))), "")</f>
        <v/>
      </c>
    </row>
    <row r="156" spans="9:9" x14ac:dyDescent="0.25">
      <c r="I156" s="3" t="str" cm="1">
        <f t="array" ref="I156">IFERROR(IF(E156="", "", INDEX(Sheet1!$G:$J, MATCH(E156, Sheet1!$C:$C, 0), IF(COUNTIF(Sheet1!$G:$G, $I$8)&gt;0, 1, IF(COUNTIF(Sheet1!$H:$H, $I$8)&gt;0, 2, IF(COUNTIF(Sheet1!$I:$I, $I$8)&gt;0, 3, IF(COUNTIF(Sheet1!$J:$J, $I$8)&gt;0, 4, 0)))))), "")</f>
        <v/>
      </c>
    </row>
    <row r="157" spans="9:9" x14ac:dyDescent="0.25">
      <c r="I157" s="3" t="str" cm="1">
        <f t="array" ref="I157">IFERROR(IF(E157="", "", INDEX(Sheet1!$G:$J, MATCH(E157, Sheet1!$C:$C, 0), IF(COUNTIF(Sheet1!$G:$G, $I$8)&gt;0, 1, IF(COUNTIF(Sheet1!$H:$H, $I$8)&gt;0, 2, IF(COUNTIF(Sheet1!$I:$I, $I$8)&gt;0, 3, IF(COUNTIF(Sheet1!$J:$J, $I$8)&gt;0, 4, 0)))))), "")</f>
        <v/>
      </c>
    </row>
    <row r="158" spans="9:9" x14ac:dyDescent="0.25">
      <c r="I158" s="3" t="str" cm="1">
        <f t="array" ref="I158">IFERROR(IF(E158="", "", INDEX(Sheet1!$G:$J, MATCH(E158, Sheet1!$C:$C, 0), IF(COUNTIF(Sheet1!$G:$G, $I$8)&gt;0, 1, IF(COUNTIF(Sheet1!$H:$H, $I$8)&gt;0, 2, IF(COUNTIF(Sheet1!$I:$I, $I$8)&gt;0, 3, IF(COUNTIF(Sheet1!$J:$J, $I$8)&gt;0, 4, 0)))))), "")</f>
        <v/>
      </c>
    </row>
    <row r="159" spans="9:9" x14ac:dyDescent="0.25">
      <c r="I159" s="3" t="str" cm="1">
        <f t="array" ref="I159">IFERROR(IF(E159="", "", INDEX(Sheet1!$G:$J, MATCH(E159, Sheet1!$C:$C, 0), IF(COUNTIF(Sheet1!$G:$G, $I$8)&gt;0, 1, IF(COUNTIF(Sheet1!$H:$H, $I$8)&gt;0, 2, IF(COUNTIF(Sheet1!$I:$I, $I$8)&gt;0, 3, IF(COUNTIF(Sheet1!$J:$J, $I$8)&gt;0, 4, 0)))))), "")</f>
        <v/>
      </c>
    </row>
    <row r="160" spans="9:9" x14ac:dyDescent="0.25">
      <c r="I160" s="3" t="str" cm="1">
        <f t="array" ref="I160">IFERROR(IF(E160="", "", INDEX(Sheet1!$G:$J, MATCH(E160, Sheet1!$C:$C, 0), IF(COUNTIF(Sheet1!$G:$G, $I$8)&gt;0, 1, IF(COUNTIF(Sheet1!$H:$H, $I$8)&gt;0, 2, IF(COUNTIF(Sheet1!$I:$I, $I$8)&gt;0, 3, IF(COUNTIF(Sheet1!$J:$J, $I$8)&gt;0, 4, 0)))))), "")</f>
        <v/>
      </c>
    </row>
    <row r="161" spans="9:9" x14ac:dyDescent="0.25">
      <c r="I161" s="3" t="str" cm="1">
        <f t="array" ref="I161">IFERROR(IF(E161="", "", INDEX(Sheet1!$G:$J, MATCH(E161, Sheet1!$C:$C, 0), IF(COUNTIF(Sheet1!$G:$G, $I$8)&gt;0, 1, IF(COUNTIF(Sheet1!$H:$H, $I$8)&gt;0, 2, IF(COUNTIF(Sheet1!$I:$I, $I$8)&gt;0, 3, IF(COUNTIF(Sheet1!$J:$J, $I$8)&gt;0, 4, 0)))))), "")</f>
        <v/>
      </c>
    </row>
    <row r="162" spans="9:9" x14ac:dyDescent="0.25">
      <c r="I162" s="3" t="str" cm="1">
        <f t="array" ref="I162">IFERROR(IF(E162="", "", INDEX(Sheet1!$G:$J, MATCH(E162, Sheet1!$C:$C, 0), IF(COUNTIF(Sheet1!$G:$G, $I$8)&gt;0, 1, IF(COUNTIF(Sheet1!$H:$H, $I$8)&gt;0, 2, IF(COUNTIF(Sheet1!$I:$I, $I$8)&gt;0, 3, IF(COUNTIF(Sheet1!$J:$J, $I$8)&gt;0, 4, 0)))))), "")</f>
        <v/>
      </c>
    </row>
    <row r="163" spans="9:9" x14ac:dyDescent="0.25">
      <c r="I163" s="3" t="str" cm="1">
        <f t="array" ref="I163">IFERROR(IF(E163="", "", INDEX(Sheet1!$G:$J, MATCH(E163, Sheet1!$C:$C, 0), IF(COUNTIF(Sheet1!$G:$G, $I$8)&gt;0, 1, IF(COUNTIF(Sheet1!$H:$H, $I$8)&gt;0, 2, IF(COUNTIF(Sheet1!$I:$I, $I$8)&gt;0, 3, IF(COUNTIF(Sheet1!$J:$J, $I$8)&gt;0, 4, 0)))))), "")</f>
        <v/>
      </c>
    </row>
    <row r="164" spans="9:9" x14ac:dyDescent="0.25">
      <c r="I164" s="3" t="str" cm="1">
        <f t="array" ref="I164">IFERROR(IF(E164="", "", INDEX(Sheet1!$G:$J, MATCH(E164, Sheet1!$C:$C, 0), IF(COUNTIF(Sheet1!$G:$G, $I$8)&gt;0, 1, IF(COUNTIF(Sheet1!$H:$H, $I$8)&gt;0, 2, IF(COUNTIF(Sheet1!$I:$I, $I$8)&gt;0, 3, IF(COUNTIF(Sheet1!$J:$J, $I$8)&gt;0, 4, 0)))))), "")</f>
        <v/>
      </c>
    </row>
    <row r="165" spans="9:9" x14ac:dyDescent="0.25">
      <c r="I165" s="3" t="str" cm="1">
        <f t="array" ref="I165">IFERROR(IF(E165="", "", INDEX(Sheet1!$G:$J, MATCH(E165, Sheet1!$C:$C, 0), IF(COUNTIF(Sheet1!$G:$G, $I$8)&gt;0, 1, IF(COUNTIF(Sheet1!$H:$H, $I$8)&gt;0, 2, IF(COUNTIF(Sheet1!$I:$I, $I$8)&gt;0, 3, IF(COUNTIF(Sheet1!$J:$J, $I$8)&gt;0, 4, 0)))))), "")</f>
        <v/>
      </c>
    </row>
    <row r="166" spans="9:9" x14ac:dyDescent="0.25">
      <c r="I166" s="3" t="str" cm="1">
        <f t="array" ref="I166">IFERROR(IF(E166="", "", INDEX(Sheet1!$G:$J, MATCH(E166, Sheet1!$C:$C, 0), IF(COUNTIF(Sheet1!$G:$G, $I$8)&gt;0, 1, IF(COUNTIF(Sheet1!$H:$H, $I$8)&gt;0, 2, IF(COUNTIF(Sheet1!$I:$I, $I$8)&gt;0, 3, IF(COUNTIF(Sheet1!$J:$J, $I$8)&gt;0, 4, 0)))))), "")</f>
        <v/>
      </c>
    </row>
    <row r="167" spans="9:9" x14ac:dyDescent="0.25">
      <c r="I167" s="3" t="str" cm="1">
        <f t="array" ref="I167">IFERROR(IF(E167="", "", INDEX(Sheet1!$G:$J, MATCH(E167, Sheet1!$C:$C, 0), IF(COUNTIF(Sheet1!$G:$G, $I$8)&gt;0, 1, IF(COUNTIF(Sheet1!$H:$H, $I$8)&gt;0, 2, IF(COUNTIF(Sheet1!$I:$I, $I$8)&gt;0, 3, IF(COUNTIF(Sheet1!$J:$J, $I$8)&gt;0, 4, 0)))))), "")</f>
        <v/>
      </c>
    </row>
    <row r="168" spans="9:9" x14ac:dyDescent="0.25">
      <c r="I168" s="3" t="str" cm="1">
        <f t="array" ref="I168">IFERROR(IF(E168="", "", INDEX(Sheet1!$G:$J, MATCH(E168, Sheet1!$C:$C, 0), IF(COUNTIF(Sheet1!$G:$G, $I$8)&gt;0, 1, IF(COUNTIF(Sheet1!$H:$H, $I$8)&gt;0, 2, IF(COUNTIF(Sheet1!$I:$I, $I$8)&gt;0, 3, IF(COUNTIF(Sheet1!$J:$J, $I$8)&gt;0, 4, 0)))))), "")</f>
        <v/>
      </c>
    </row>
    <row r="169" spans="9:9" x14ac:dyDescent="0.25">
      <c r="I169" s="3" t="str" cm="1">
        <f t="array" ref="I169">IFERROR(IF(E169="", "", INDEX(Sheet1!$G:$J, MATCH(E169, Sheet1!$C:$C, 0), IF(COUNTIF(Sheet1!$G:$G, $I$8)&gt;0, 1, IF(COUNTIF(Sheet1!$H:$H, $I$8)&gt;0, 2, IF(COUNTIF(Sheet1!$I:$I, $I$8)&gt;0, 3, IF(COUNTIF(Sheet1!$J:$J, $I$8)&gt;0, 4, 0)))))), "")</f>
        <v/>
      </c>
    </row>
    <row r="170" spans="9:9" x14ac:dyDescent="0.25">
      <c r="I170" s="3" t="str" cm="1">
        <f t="array" ref="I170">IFERROR(IF(E170="", "", INDEX(Sheet1!$G:$J, MATCH(E170, Sheet1!$C:$C, 0), IF(COUNTIF(Sheet1!$G:$G, $I$8)&gt;0, 1, IF(COUNTIF(Sheet1!$H:$H, $I$8)&gt;0, 2, IF(COUNTIF(Sheet1!$I:$I, $I$8)&gt;0, 3, IF(COUNTIF(Sheet1!$J:$J, $I$8)&gt;0, 4, 0)))))), "")</f>
        <v/>
      </c>
    </row>
    <row r="171" spans="9:9" x14ac:dyDescent="0.25">
      <c r="I171" s="3" t="str" cm="1">
        <f t="array" ref="I171">IFERROR(IF(E171="", "", INDEX(Sheet1!$G:$J, MATCH(E171, Sheet1!$C:$C, 0), IF(COUNTIF(Sheet1!$G:$G, $I$8)&gt;0, 1, IF(COUNTIF(Sheet1!$H:$H, $I$8)&gt;0, 2, IF(COUNTIF(Sheet1!$I:$I, $I$8)&gt;0, 3, IF(COUNTIF(Sheet1!$J:$J, $I$8)&gt;0, 4, 0)))))), "")</f>
        <v/>
      </c>
    </row>
    <row r="172" spans="9:9" x14ac:dyDescent="0.25">
      <c r="I172" s="3" t="str" cm="1">
        <f t="array" ref="I172">IFERROR(IF(E172="", "", INDEX(Sheet1!$G:$J, MATCH(E172, Sheet1!$C:$C, 0), IF(COUNTIF(Sheet1!$G:$G, $I$8)&gt;0, 1, IF(COUNTIF(Sheet1!$H:$H, $I$8)&gt;0, 2, IF(COUNTIF(Sheet1!$I:$I, $I$8)&gt;0, 3, IF(COUNTIF(Sheet1!$J:$J, $I$8)&gt;0, 4, 0)))))), "")</f>
        <v/>
      </c>
    </row>
    <row r="173" spans="9:9" x14ac:dyDescent="0.25">
      <c r="I173" s="3" t="str" cm="1">
        <f t="array" ref="I173">IFERROR(IF(E173="", "", INDEX(Sheet1!$G:$J, MATCH(E173, Sheet1!$C:$C, 0), IF(COUNTIF(Sheet1!$G:$G, $I$8)&gt;0, 1, IF(COUNTIF(Sheet1!$H:$H, $I$8)&gt;0, 2, IF(COUNTIF(Sheet1!$I:$I, $I$8)&gt;0, 3, IF(COUNTIF(Sheet1!$J:$J, $I$8)&gt;0, 4, 0)))))), "")</f>
        <v/>
      </c>
    </row>
    <row r="174" spans="9:9" x14ac:dyDescent="0.25">
      <c r="I174" s="3" t="str" cm="1">
        <f t="array" ref="I174">IFERROR(IF(E174="", "", INDEX(Sheet1!$G:$J, MATCH(E174, Sheet1!$C:$C, 0), IF(COUNTIF(Sheet1!$G:$G, $I$8)&gt;0, 1, IF(COUNTIF(Sheet1!$H:$H, $I$8)&gt;0, 2, IF(COUNTIF(Sheet1!$I:$I, $I$8)&gt;0, 3, IF(COUNTIF(Sheet1!$J:$J, $I$8)&gt;0, 4, 0)))))), "")</f>
        <v/>
      </c>
    </row>
    <row r="175" spans="9:9" x14ac:dyDescent="0.25">
      <c r="I175" s="3" t="str" cm="1">
        <f t="array" ref="I175">IFERROR(IF(E175="", "", INDEX(Sheet1!$G:$J, MATCH(E175, Sheet1!$C:$C, 0), IF(COUNTIF(Sheet1!$G:$G, $I$8)&gt;0, 1, IF(COUNTIF(Sheet1!$H:$H, $I$8)&gt;0, 2, IF(COUNTIF(Sheet1!$I:$I, $I$8)&gt;0, 3, IF(COUNTIF(Sheet1!$J:$J, $I$8)&gt;0, 4, 0)))))), "")</f>
        <v/>
      </c>
    </row>
    <row r="176" spans="9:9" x14ac:dyDescent="0.25">
      <c r="I176" s="3" t="str" cm="1">
        <f t="array" ref="I176">IFERROR(IF(E176="", "", INDEX(Sheet1!$G:$J, MATCH(E176, Sheet1!$C:$C, 0), IF(COUNTIF(Sheet1!$G:$G, $I$8)&gt;0, 1, IF(COUNTIF(Sheet1!$H:$H, $I$8)&gt;0, 2, IF(COUNTIF(Sheet1!$I:$I, $I$8)&gt;0, 3, IF(COUNTIF(Sheet1!$J:$J, $I$8)&gt;0, 4, 0)))))), "")</f>
        <v/>
      </c>
    </row>
    <row r="177" spans="9:9" x14ac:dyDescent="0.25">
      <c r="I177" s="3" t="str" cm="1">
        <f t="array" ref="I177">IFERROR(IF(E177="", "", INDEX(Sheet1!$G:$J, MATCH(E177, Sheet1!$C:$C, 0), IF(COUNTIF(Sheet1!$G:$G, $I$8)&gt;0, 1, IF(COUNTIF(Sheet1!$H:$H, $I$8)&gt;0, 2, IF(COUNTIF(Sheet1!$I:$I, $I$8)&gt;0, 3, IF(COUNTIF(Sheet1!$J:$J, $I$8)&gt;0, 4, 0)))))), "")</f>
        <v/>
      </c>
    </row>
    <row r="178" spans="9:9" x14ac:dyDescent="0.25">
      <c r="I178" s="3" t="str" cm="1">
        <f t="array" ref="I178">IFERROR(IF(E178="", "", INDEX(Sheet1!$G:$J, MATCH(E178, Sheet1!$C:$C, 0), IF(COUNTIF(Sheet1!$G:$G, $I$8)&gt;0, 1, IF(COUNTIF(Sheet1!$H:$H, $I$8)&gt;0, 2, IF(COUNTIF(Sheet1!$I:$I, $I$8)&gt;0, 3, IF(COUNTIF(Sheet1!$J:$J, $I$8)&gt;0, 4, 0)))))), "")</f>
        <v/>
      </c>
    </row>
    <row r="179" spans="9:9" x14ac:dyDescent="0.25">
      <c r="I179" s="3" t="str" cm="1">
        <f t="array" ref="I179">IFERROR(IF(E179="", "", INDEX(Sheet1!$G:$J, MATCH(E179, Sheet1!$C:$C, 0), IF(COUNTIF(Sheet1!$G:$G, $I$8)&gt;0, 1, IF(COUNTIF(Sheet1!$H:$H, $I$8)&gt;0, 2, IF(COUNTIF(Sheet1!$I:$I, $I$8)&gt;0, 3, IF(COUNTIF(Sheet1!$J:$J, $I$8)&gt;0, 4, 0)))))), "")</f>
        <v/>
      </c>
    </row>
    <row r="180" spans="9:9" x14ac:dyDescent="0.25">
      <c r="I180" s="3" t="str" cm="1">
        <f t="array" ref="I180">IFERROR(IF(E180="", "", INDEX(Sheet1!$G:$J, MATCH(E180, Sheet1!$C:$C, 0), IF(COUNTIF(Sheet1!$G:$G, $I$8)&gt;0, 1, IF(COUNTIF(Sheet1!$H:$H, $I$8)&gt;0, 2, IF(COUNTIF(Sheet1!$I:$I, $I$8)&gt;0, 3, IF(COUNTIF(Sheet1!$J:$J, $I$8)&gt;0, 4, 0)))))), "")</f>
        <v/>
      </c>
    </row>
    <row r="181" spans="9:9" x14ac:dyDescent="0.25">
      <c r="I181" s="3" t="str" cm="1">
        <f t="array" ref="I181">IFERROR(IF(E181="", "", INDEX(Sheet1!$G:$J, MATCH(E181, Sheet1!$C:$C, 0), IF(COUNTIF(Sheet1!$G:$G, $I$8)&gt;0, 1, IF(COUNTIF(Sheet1!$H:$H, $I$8)&gt;0, 2, IF(COUNTIF(Sheet1!$I:$I, $I$8)&gt;0, 3, IF(COUNTIF(Sheet1!$J:$J, $I$8)&gt;0, 4, 0)))))), "")</f>
        <v/>
      </c>
    </row>
    <row r="182" spans="9:9" x14ac:dyDescent="0.25">
      <c r="I182" s="3" t="str" cm="1">
        <f t="array" ref="I182">IFERROR(IF(E182="", "", INDEX(Sheet1!$G:$J, MATCH(E182, Sheet1!$C:$C, 0), IF(COUNTIF(Sheet1!$G:$G, $I$8)&gt;0, 1, IF(COUNTIF(Sheet1!$H:$H, $I$8)&gt;0, 2, IF(COUNTIF(Sheet1!$I:$I, $I$8)&gt;0, 3, IF(COUNTIF(Sheet1!$J:$J, $I$8)&gt;0, 4, 0)))))), "")</f>
        <v/>
      </c>
    </row>
    <row r="183" spans="9:9" x14ac:dyDescent="0.25">
      <c r="I183" s="3" t="str" cm="1">
        <f t="array" ref="I183">IFERROR(IF(E183="", "", INDEX(Sheet1!$G:$J, MATCH(E183, Sheet1!$C:$C, 0), IF(COUNTIF(Sheet1!$G:$G, $I$8)&gt;0, 1, IF(COUNTIF(Sheet1!$H:$H, $I$8)&gt;0, 2, IF(COUNTIF(Sheet1!$I:$I, $I$8)&gt;0, 3, IF(COUNTIF(Sheet1!$J:$J, $I$8)&gt;0, 4, 0)))))), "")</f>
        <v/>
      </c>
    </row>
    <row r="184" spans="9:9" x14ac:dyDescent="0.25">
      <c r="I184" s="3" t="str" cm="1">
        <f t="array" ref="I184">IFERROR(IF(E184="", "", INDEX(Sheet1!$G:$J, MATCH(E184, Sheet1!$C:$C, 0), IF(COUNTIF(Sheet1!$G:$G, $I$8)&gt;0, 1, IF(COUNTIF(Sheet1!$H:$H, $I$8)&gt;0, 2, IF(COUNTIF(Sheet1!$I:$I, $I$8)&gt;0, 3, IF(COUNTIF(Sheet1!$J:$J, $I$8)&gt;0, 4, 0)))))), "")</f>
        <v/>
      </c>
    </row>
    <row r="185" spans="9:9" x14ac:dyDescent="0.25">
      <c r="I185" s="3" t="str" cm="1">
        <f t="array" ref="I185">IFERROR(IF(E185="", "", INDEX(Sheet1!$G:$J, MATCH(E185, Sheet1!$C:$C, 0), IF(COUNTIF(Sheet1!$G:$G, $I$8)&gt;0, 1, IF(COUNTIF(Sheet1!$H:$H, $I$8)&gt;0, 2, IF(COUNTIF(Sheet1!$I:$I, $I$8)&gt;0, 3, IF(COUNTIF(Sheet1!$J:$J, $I$8)&gt;0, 4, 0)))))), "")</f>
        <v/>
      </c>
    </row>
    <row r="186" spans="9:9" x14ac:dyDescent="0.25">
      <c r="I186" s="3" t="str" cm="1">
        <f t="array" ref="I186">IFERROR(IF(E186="", "", INDEX(Sheet1!$G:$J, MATCH(E186, Sheet1!$C:$C, 0), IF(COUNTIF(Sheet1!$G:$G, $I$8)&gt;0, 1, IF(COUNTIF(Sheet1!$H:$H, $I$8)&gt;0, 2, IF(COUNTIF(Sheet1!$I:$I, $I$8)&gt;0, 3, IF(COUNTIF(Sheet1!$J:$J, $I$8)&gt;0, 4, 0)))))), "")</f>
        <v/>
      </c>
    </row>
    <row r="187" spans="9:9" x14ac:dyDescent="0.25">
      <c r="I187" s="3" t="str" cm="1">
        <f t="array" ref="I187">IFERROR(IF(E187="", "", INDEX(Sheet1!$G:$J, MATCH(E187, Sheet1!$C:$C, 0), IF(COUNTIF(Sheet1!$G:$G, $I$8)&gt;0, 1, IF(COUNTIF(Sheet1!$H:$H, $I$8)&gt;0, 2, IF(COUNTIF(Sheet1!$I:$I, $I$8)&gt;0, 3, IF(COUNTIF(Sheet1!$J:$J, $I$8)&gt;0, 4, 0)))))), "")</f>
        <v/>
      </c>
    </row>
    <row r="188" spans="9:9" x14ac:dyDescent="0.25">
      <c r="I188" s="3" t="str" cm="1">
        <f t="array" ref="I188">IFERROR(IF(E188="", "", INDEX(Sheet1!$G:$J, MATCH(E188, Sheet1!$C:$C, 0), IF(COUNTIF(Sheet1!$G:$G, $I$8)&gt;0, 1, IF(COUNTIF(Sheet1!$H:$H, $I$8)&gt;0, 2, IF(COUNTIF(Sheet1!$I:$I, $I$8)&gt;0, 3, IF(COUNTIF(Sheet1!$J:$J, $I$8)&gt;0, 4, 0)))))), "")</f>
        <v/>
      </c>
    </row>
    <row r="189" spans="9:9" x14ac:dyDescent="0.25">
      <c r="I189" s="3" t="str" cm="1">
        <f t="array" ref="I189">IFERROR(IF(E189="", "", INDEX(Sheet1!$G:$J, MATCH(E189, Sheet1!$C:$C, 0), IF(COUNTIF(Sheet1!$G:$G, $I$8)&gt;0, 1, IF(COUNTIF(Sheet1!$H:$H, $I$8)&gt;0, 2, IF(COUNTIF(Sheet1!$I:$I, $I$8)&gt;0, 3, IF(COUNTIF(Sheet1!$J:$J, $I$8)&gt;0, 4, 0)))))), "")</f>
        <v/>
      </c>
    </row>
    <row r="190" spans="9:9" x14ac:dyDescent="0.25">
      <c r="I190" s="3" t="str" cm="1">
        <f t="array" ref="I190">IFERROR(IF(E190="", "", INDEX(Sheet1!$G:$J, MATCH(E190, Sheet1!$C:$C, 0), IF(COUNTIF(Sheet1!$G:$G, $I$8)&gt;0, 1, IF(COUNTIF(Sheet1!$H:$H, $I$8)&gt;0, 2, IF(COUNTIF(Sheet1!$I:$I, $I$8)&gt;0, 3, IF(COUNTIF(Sheet1!$J:$J, $I$8)&gt;0, 4, 0)))))), "")</f>
        <v/>
      </c>
    </row>
    <row r="191" spans="9:9" x14ac:dyDescent="0.25">
      <c r="I191" s="3" t="str" cm="1">
        <f t="array" ref="I191">IFERROR(IF(E191="", "", INDEX(Sheet1!$G:$J, MATCH(E191, Sheet1!$C:$C, 0), IF(COUNTIF(Sheet1!$G:$G, $I$8)&gt;0, 1, IF(COUNTIF(Sheet1!$H:$H, $I$8)&gt;0, 2, IF(COUNTIF(Sheet1!$I:$I, $I$8)&gt;0, 3, IF(COUNTIF(Sheet1!$J:$J, $I$8)&gt;0, 4, 0)))))), "")</f>
        <v/>
      </c>
    </row>
    <row r="192" spans="9:9" x14ac:dyDescent="0.25">
      <c r="I192" s="3" t="str" cm="1">
        <f t="array" ref="I192">IFERROR(IF(E192="", "", INDEX(Sheet1!$G:$J, MATCH(E192, Sheet1!$C:$C, 0), IF(COUNTIF(Sheet1!$G:$G, $I$8)&gt;0, 1, IF(COUNTIF(Sheet1!$H:$H, $I$8)&gt;0, 2, IF(COUNTIF(Sheet1!$I:$I, $I$8)&gt;0, 3, IF(COUNTIF(Sheet1!$J:$J, $I$8)&gt;0, 4, 0)))))), "")</f>
        <v/>
      </c>
    </row>
    <row r="193" spans="9:9" x14ac:dyDescent="0.25">
      <c r="I193" s="3" t="str" cm="1">
        <f t="array" ref="I193">IFERROR(IF(E193="", "", INDEX(Sheet1!$G:$J, MATCH(E193, Sheet1!$C:$C, 0), IF(COUNTIF(Sheet1!$G:$G, $I$8)&gt;0, 1, IF(COUNTIF(Sheet1!$H:$H, $I$8)&gt;0, 2, IF(COUNTIF(Sheet1!$I:$I, $I$8)&gt;0, 3, IF(COUNTIF(Sheet1!$J:$J, $I$8)&gt;0, 4, 0)))))), "")</f>
        <v/>
      </c>
    </row>
    <row r="194" spans="9:9" x14ac:dyDescent="0.25">
      <c r="I194" s="3" t="str" cm="1">
        <f t="array" ref="I194">IFERROR(IF(E194="", "", INDEX(Sheet1!$G:$J, MATCH(E194, Sheet1!$C:$C, 0), IF(COUNTIF(Sheet1!$G:$G, $I$8)&gt;0, 1, IF(COUNTIF(Sheet1!$H:$H, $I$8)&gt;0, 2, IF(COUNTIF(Sheet1!$I:$I, $I$8)&gt;0, 3, IF(COUNTIF(Sheet1!$J:$J, $I$8)&gt;0, 4, 0)))))), "")</f>
        <v/>
      </c>
    </row>
    <row r="195" spans="9:9" x14ac:dyDescent="0.25">
      <c r="I195" s="3" t="str" cm="1">
        <f t="array" ref="I195">IFERROR(IF(E195="", "", INDEX(Sheet1!$G:$J, MATCH(E195, Sheet1!$C:$C, 0), IF(COUNTIF(Sheet1!$G:$G, $I$8)&gt;0, 1, IF(COUNTIF(Sheet1!$H:$H, $I$8)&gt;0, 2, IF(COUNTIF(Sheet1!$I:$I, $I$8)&gt;0, 3, IF(COUNTIF(Sheet1!$J:$J, $I$8)&gt;0, 4, 0)))))), "")</f>
        <v/>
      </c>
    </row>
    <row r="196" spans="9:9" x14ac:dyDescent="0.25">
      <c r="I196" s="3" t="str" cm="1">
        <f t="array" ref="I196">IFERROR(IF(E196="", "", INDEX(Sheet1!$G:$J, MATCH(E196, Sheet1!$C:$C, 0), IF(COUNTIF(Sheet1!$G:$G, $I$8)&gt;0, 1, IF(COUNTIF(Sheet1!$H:$H, $I$8)&gt;0, 2, IF(COUNTIF(Sheet1!$I:$I, $I$8)&gt;0, 3, IF(COUNTIF(Sheet1!$J:$J, $I$8)&gt;0, 4, 0)))))), "")</f>
        <v/>
      </c>
    </row>
    <row r="197" spans="9:9" x14ac:dyDescent="0.25">
      <c r="I197" s="3" t="str" cm="1">
        <f t="array" ref="I197">IFERROR(IF(E197="", "", INDEX(Sheet1!$G:$J, MATCH(E197, Sheet1!$C:$C, 0), IF(COUNTIF(Sheet1!$G:$G, $I$8)&gt;0, 1, IF(COUNTIF(Sheet1!$H:$H, $I$8)&gt;0, 2, IF(COUNTIF(Sheet1!$I:$I, $I$8)&gt;0, 3, IF(COUNTIF(Sheet1!$J:$J, $I$8)&gt;0, 4, 0)))))), "")</f>
        <v/>
      </c>
    </row>
    <row r="198" spans="9:9" x14ac:dyDescent="0.25">
      <c r="I198" s="3" t="str" cm="1">
        <f t="array" ref="I198">IFERROR(IF(E198="", "", INDEX(Sheet1!$G:$J, MATCH(E198, Sheet1!$C:$C, 0), IF(COUNTIF(Sheet1!$G:$G, $I$8)&gt;0, 1, IF(COUNTIF(Sheet1!$H:$H, $I$8)&gt;0, 2, IF(COUNTIF(Sheet1!$I:$I, $I$8)&gt;0, 3, IF(COUNTIF(Sheet1!$J:$J, $I$8)&gt;0, 4, 0)))))), "")</f>
        <v/>
      </c>
    </row>
    <row r="199" spans="9:9" x14ac:dyDescent="0.25">
      <c r="I199" s="3" t="str" cm="1">
        <f t="array" ref="I199">IFERROR(IF(E199="", "", INDEX(Sheet1!$G:$J, MATCH(E199, Sheet1!$C:$C, 0), IF(COUNTIF(Sheet1!$G:$G, $I$8)&gt;0, 1, IF(COUNTIF(Sheet1!$H:$H, $I$8)&gt;0, 2, IF(COUNTIF(Sheet1!$I:$I, $I$8)&gt;0, 3, IF(COUNTIF(Sheet1!$J:$J, $I$8)&gt;0, 4, 0)))))), "")</f>
        <v/>
      </c>
    </row>
    <row r="200" spans="9:9" x14ac:dyDescent="0.25">
      <c r="I200" s="3" t="str" cm="1">
        <f t="array" ref="I200">IFERROR(IF(E200="", "", INDEX(Sheet1!$G:$J, MATCH(E200, Sheet1!$C:$C, 0), IF(COUNTIF(Sheet1!$G:$G, $I$8)&gt;0, 1, IF(COUNTIF(Sheet1!$H:$H, $I$8)&gt;0, 2, IF(COUNTIF(Sheet1!$I:$I, $I$8)&gt;0, 3, IF(COUNTIF(Sheet1!$J:$J, $I$8)&gt;0, 4, 0)))))), "")</f>
        <v/>
      </c>
    </row>
    <row r="201" spans="9:9" x14ac:dyDescent="0.25">
      <c r="I201" s="3" t="str" cm="1">
        <f t="array" ref="I201">IFERROR(IF(E201="", "", INDEX(Sheet1!$G:$J, MATCH(E201, Sheet1!$C:$C, 0), IF(COUNTIF(Sheet1!$G:$G, $I$8)&gt;0, 1, IF(COUNTIF(Sheet1!$H:$H, $I$8)&gt;0, 2, IF(COUNTIF(Sheet1!$I:$I, $I$8)&gt;0, 3, IF(COUNTIF(Sheet1!$J:$J, $I$8)&gt;0, 4, 0)))))), "")</f>
        <v/>
      </c>
    </row>
    <row r="202" spans="9:9" x14ac:dyDescent="0.25">
      <c r="I202" s="3" t="str" cm="1">
        <f t="array" ref="I202">IFERROR(IF(E202="", "", INDEX(Sheet1!$G:$J, MATCH(E202, Sheet1!$C:$C, 0), IF(COUNTIF(Sheet1!$G:$G, $I$8)&gt;0, 1, IF(COUNTIF(Sheet1!$H:$H, $I$8)&gt;0, 2, IF(COUNTIF(Sheet1!$I:$I, $I$8)&gt;0, 3, IF(COUNTIF(Sheet1!$J:$J, $I$8)&gt;0, 4, 0)))))), "")</f>
        <v/>
      </c>
    </row>
    <row r="203" spans="9:9" x14ac:dyDescent="0.25">
      <c r="I203" s="3" t="str" cm="1">
        <f t="array" ref="I203">IFERROR(IF(E203="", "", INDEX(Sheet1!$G:$J, MATCH(E203, Sheet1!$C:$C, 0), IF(COUNTIF(Sheet1!$G:$G, $I$8)&gt;0, 1, IF(COUNTIF(Sheet1!$H:$H, $I$8)&gt;0, 2, IF(COUNTIF(Sheet1!$I:$I, $I$8)&gt;0, 3, IF(COUNTIF(Sheet1!$J:$J, $I$8)&gt;0, 4, 0)))))), "")</f>
        <v/>
      </c>
    </row>
    <row r="204" spans="9:9" x14ac:dyDescent="0.25">
      <c r="I204" s="3" t="str" cm="1">
        <f t="array" ref="I204">IFERROR(IF(E204="", "", INDEX(Sheet1!$G:$J, MATCH(E204, Sheet1!$C:$C, 0), IF(COUNTIF(Sheet1!$G:$G, $I$8)&gt;0, 1, IF(COUNTIF(Sheet1!$H:$H, $I$8)&gt;0, 2, IF(COUNTIF(Sheet1!$I:$I, $I$8)&gt;0, 3, IF(COUNTIF(Sheet1!$J:$J, $I$8)&gt;0, 4, 0)))))), "")</f>
        <v/>
      </c>
    </row>
    <row r="205" spans="9:9" x14ac:dyDescent="0.25">
      <c r="I205" s="3" t="str" cm="1">
        <f t="array" ref="I205">IFERROR(IF(E205="", "", INDEX(Sheet1!$G:$J, MATCH(E205, Sheet1!$C:$C, 0), IF(COUNTIF(Sheet1!$G:$G, $I$8)&gt;0, 1, IF(COUNTIF(Sheet1!$H:$H, $I$8)&gt;0, 2, IF(COUNTIF(Sheet1!$I:$I, $I$8)&gt;0, 3, IF(COUNTIF(Sheet1!$J:$J, $I$8)&gt;0, 4, 0)))))), "")</f>
        <v/>
      </c>
    </row>
    <row r="206" spans="9:9" x14ac:dyDescent="0.25">
      <c r="I206" s="3" t="str" cm="1">
        <f t="array" ref="I206">IFERROR(IF(E206="", "", INDEX(Sheet1!$G:$J, MATCH(E206, Sheet1!$C:$C, 0), IF(COUNTIF(Sheet1!$G:$G, $I$8)&gt;0, 1, IF(COUNTIF(Sheet1!$H:$H, $I$8)&gt;0, 2, IF(COUNTIF(Sheet1!$I:$I, $I$8)&gt;0, 3, IF(COUNTIF(Sheet1!$J:$J, $I$8)&gt;0, 4, 0)))))), "")</f>
        <v/>
      </c>
    </row>
    <row r="207" spans="9:9" x14ac:dyDescent="0.25">
      <c r="I207" s="3" t="str" cm="1">
        <f t="array" ref="I207">IFERROR(IF(E207="", "", INDEX(Sheet1!$G:$J, MATCH(E207, Sheet1!$C:$C, 0), IF(COUNTIF(Sheet1!$G:$G, $I$8)&gt;0, 1, IF(COUNTIF(Sheet1!$H:$H, $I$8)&gt;0, 2, IF(COUNTIF(Sheet1!$I:$I, $I$8)&gt;0, 3, IF(COUNTIF(Sheet1!$J:$J, $I$8)&gt;0, 4, 0)))))), "")</f>
        <v/>
      </c>
    </row>
    <row r="208" spans="9:9" x14ac:dyDescent="0.25">
      <c r="I208" s="3" t="str" cm="1">
        <f t="array" ref="I208">IFERROR(IF(E208="", "", INDEX(Sheet1!$G:$J, MATCH(E208, Sheet1!$C:$C, 0), IF(COUNTIF(Sheet1!$G:$G, $I$8)&gt;0, 1, IF(COUNTIF(Sheet1!$H:$H, $I$8)&gt;0, 2, IF(COUNTIF(Sheet1!$I:$I, $I$8)&gt;0, 3, IF(COUNTIF(Sheet1!$J:$J, $I$8)&gt;0, 4, 0)))))), "")</f>
        <v/>
      </c>
    </row>
    <row r="209" spans="9:9" x14ac:dyDescent="0.25">
      <c r="I209" s="3" t="str" cm="1">
        <f t="array" ref="I209">IFERROR(IF(E209="", "", INDEX(Sheet1!$G:$J, MATCH(E209, Sheet1!$C:$C, 0), IF(COUNTIF(Sheet1!$G:$G, $I$8)&gt;0, 1, IF(COUNTIF(Sheet1!$H:$H, $I$8)&gt;0, 2, IF(COUNTIF(Sheet1!$I:$I, $I$8)&gt;0, 3, IF(COUNTIF(Sheet1!$J:$J, $I$8)&gt;0, 4, 0)))))), "")</f>
        <v/>
      </c>
    </row>
    <row r="210" spans="9:9" x14ac:dyDescent="0.25">
      <c r="I210" s="3" t="str" cm="1">
        <f t="array" ref="I210">IFERROR(IF(E210="", "", INDEX(Sheet1!$G:$J, MATCH(E210, Sheet1!$C:$C, 0), IF(COUNTIF(Sheet1!$G:$G, $I$8)&gt;0, 1, IF(COUNTIF(Sheet1!$H:$H, $I$8)&gt;0, 2, IF(COUNTIF(Sheet1!$I:$I, $I$8)&gt;0, 3, IF(COUNTIF(Sheet1!$J:$J, $I$8)&gt;0, 4, 0)))))), "")</f>
        <v/>
      </c>
    </row>
    <row r="211" spans="9:9" x14ac:dyDescent="0.25">
      <c r="I211" s="3" t="str" cm="1">
        <f t="array" ref="I211">IFERROR(IF(E211="", "", INDEX(Sheet1!$G:$J, MATCH(E211, Sheet1!$C:$C, 0), IF(COUNTIF(Sheet1!$G:$G, $I$8)&gt;0, 1, IF(COUNTIF(Sheet1!$H:$H, $I$8)&gt;0, 2, IF(COUNTIF(Sheet1!$I:$I, $I$8)&gt;0, 3, IF(COUNTIF(Sheet1!$J:$J, $I$8)&gt;0, 4, 0)))))), "")</f>
        <v/>
      </c>
    </row>
    <row r="212" spans="9:9" x14ac:dyDescent="0.25">
      <c r="I212" s="3" t="str" cm="1">
        <f t="array" ref="I212">IFERROR(IF(E212="", "", INDEX(Sheet1!$G:$J, MATCH(E212, Sheet1!$C:$C, 0), IF(COUNTIF(Sheet1!$G:$G, $I$8)&gt;0, 1, IF(COUNTIF(Sheet1!$H:$H, $I$8)&gt;0, 2, IF(COUNTIF(Sheet1!$I:$I, $I$8)&gt;0, 3, IF(COUNTIF(Sheet1!$J:$J, $I$8)&gt;0, 4, 0)))))), "")</f>
        <v/>
      </c>
    </row>
    <row r="213" spans="9:9" x14ac:dyDescent="0.25">
      <c r="I213" s="3" t="str" cm="1">
        <f t="array" ref="I213">IFERROR(IF(E213="", "", INDEX(Sheet1!$G:$J, MATCH(E213, Sheet1!$C:$C, 0), IF(COUNTIF(Sheet1!$G:$G, $I$8)&gt;0, 1, IF(COUNTIF(Sheet1!$H:$H, $I$8)&gt;0, 2, IF(COUNTIF(Sheet1!$I:$I, $I$8)&gt;0, 3, IF(COUNTIF(Sheet1!$J:$J, $I$8)&gt;0, 4, 0)))))), "")</f>
        <v/>
      </c>
    </row>
    <row r="214" spans="9:9" x14ac:dyDescent="0.25">
      <c r="I214" s="3" t="str" cm="1">
        <f t="array" ref="I214">IFERROR(IF(E214="", "", INDEX(Sheet1!$G:$J, MATCH(E214, Sheet1!$C:$C, 0), IF(COUNTIF(Sheet1!$G:$G, $I$8)&gt;0, 1, IF(COUNTIF(Sheet1!$H:$H, $I$8)&gt;0, 2, IF(COUNTIF(Sheet1!$I:$I, $I$8)&gt;0, 3, IF(COUNTIF(Sheet1!$J:$J, $I$8)&gt;0, 4, 0)))))), "")</f>
        <v/>
      </c>
    </row>
    <row r="215" spans="9:9" x14ac:dyDescent="0.25">
      <c r="I215" s="3" t="str" cm="1">
        <f t="array" ref="I215">IFERROR(IF(E215="", "", INDEX(Sheet1!$G:$J, MATCH(E215, Sheet1!$C:$C, 0), IF(COUNTIF(Sheet1!$G:$G, $I$8)&gt;0, 1, IF(COUNTIF(Sheet1!$H:$H, $I$8)&gt;0, 2, IF(COUNTIF(Sheet1!$I:$I, $I$8)&gt;0, 3, IF(COUNTIF(Sheet1!$J:$J, $I$8)&gt;0, 4, 0)))))), "")</f>
        <v/>
      </c>
    </row>
    <row r="216" spans="9:9" x14ac:dyDescent="0.25">
      <c r="I216" s="3" t="str" cm="1">
        <f t="array" ref="I216">IFERROR(IF(E216="", "", INDEX(Sheet1!$G:$J, MATCH(E216, Sheet1!$C:$C, 0), IF(COUNTIF(Sheet1!$G:$G, $I$8)&gt;0, 1, IF(COUNTIF(Sheet1!$H:$H, $I$8)&gt;0, 2, IF(COUNTIF(Sheet1!$I:$I, $I$8)&gt;0, 3, IF(COUNTIF(Sheet1!$J:$J, $I$8)&gt;0, 4, 0)))))), "")</f>
        <v/>
      </c>
    </row>
    <row r="217" spans="9:9" x14ac:dyDescent="0.25">
      <c r="I217" s="3" t="str" cm="1">
        <f t="array" ref="I217">IFERROR(IF(E217="", "", INDEX(Sheet1!$G:$J, MATCH(E217, Sheet1!$C:$C, 0), IF(COUNTIF(Sheet1!$G:$G, $I$8)&gt;0, 1, IF(COUNTIF(Sheet1!$H:$H, $I$8)&gt;0, 2, IF(COUNTIF(Sheet1!$I:$I, $I$8)&gt;0, 3, IF(COUNTIF(Sheet1!$J:$J, $I$8)&gt;0, 4, 0)))))), "")</f>
        <v/>
      </c>
    </row>
    <row r="218" spans="9:9" x14ac:dyDescent="0.25">
      <c r="I218" s="3" t="str" cm="1">
        <f t="array" ref="I218">IFERROR(IF(E218="", "", INDEX(Sheet1!$G:$J, MATCH(E218, Sheet1!$C:$C, 0), IF(COUNTIF(Sheet1!$G:$G, $I$8)&gt;0, 1, IF(COUNTIF(Sheet1!$H:$H, $I$8)&gt;0, 2, IF(COUNTIF(Sheet1!$I:$I, $I$8)&gt;0, 3, IF(COUNTIF(Sheet1!$J:$J, $I$8)&gt;0, 4, 0)))))), "")</f>
        <v/>
      </c>
    </row>
    <row r="219" spans="9:9" x14ac:dyDescent="0.25">
      <c r="I219" s="3" t="str" cm="1">
        <f t="array" ref="I219">IFERROR(IF(E219="", "", INDEX(Sheet1!$G:$J, MATCH(E219, Sheet1!$C:$C, 0), IF(COUNTIF(Sheet1!$G:$G, $I$8)&gt;0, 1, IF(COUNTIF(Sheet1!$H:$H, $I$8)&gt;0, 2, IF(COUNTIF(Sheet1!$I:$I, $I$8)&gt;0, 3, IF(COUNTIF(Sheet1!$J:$J, $I$8)&gt;0, 4, 0)))))), "")</f>
        <v/>
      </c>
    </row>
    <row r="220" spans="9:9" x14ac:dyDescent="0.25">
      <c r="I220" s="3" t="str" cm="1">
        <f t="array" ref="I220">IFERROR(IF(E220="", "", INDEX(Sheet1!$G:$J, MATCH(E220, Sheet1!$C:$C, 0), IF(COUNTIF(Sheet1!$G:$G, $I$8)&gt;0, 1, IF(COUNTIF(Sheet1!$H:$H, $I$8)&gt;0, 2, IF(COUNTIF(Sheet1!$I:$I, $I$8)&gt;0, 3, IF(COUNTIF(Sheet1!$J:$J, $I$8)&gt;0, 4, 0)))))), "")</f>
        <v/>
      </c>
    </row>
    <row r="221" spans="9:9" x14ac:dyDescent="0.25">
      <c r="I221" s="3" t="str" cm="1">
        <f t="array" ref="I221">IFERROR(IF(E221="", "", INDEX(Sheet1!$G:$J, MATCH(E221, Sheet1!$C:$C, 0), IF(COUNTIF(Sheet1!$G:$G, $I$8)&gt;0, 1, IF(COUNTIF(Sheet1!$H:$H, $I$8)&gt;0, 2, IF(COUNTIF(Sheet1!$I:$I, $I$8)&gt;0, 3, IF(COUNTIF(Sheet1!$J:$J, $I$8)&gt;0, 4, 0)))))), "")</f>
        <v/>
      </c>
    </row>
    <row r="222" spans="9:9" x14ac:dyDescent="0.25">
      <c r="I222" s="3" t="str" cm="1">
        <f t="array" ref="I222">IFERROR(IF(E222="", "", INDEX(Sheet1!$G:$J, MATCH(E222, Sheet1!$C:$C, 0), IF(COUNTIF(Sheet1!$G:$G, $I$8)&gt;0, 1, IF(COUNTIF(Sheet1!$H:$H, $I$8)&gt;0, 2, IF(COUNTIF(Sheet1!$I:$I, $I$8)&gt;0, 3, IF(COUNTIF(Sheet1!$J:$J, $I$8)&gt;0, 4, 0)))))), "")</f>
        <v/>
      </c>
    </row>
    <row r="223" spans="9:9" x14ac:dyDescent="0.25">
      <c r="I223" s="3" t="str" cm="1">
        <f t="array" ref="I223">IFERROR(IF(E223="", "", INDEX(Sheet1!$G:$J, MATCH(E223, Sheet1!$C:$C, 0), IF(COUNTIF(Sheet1!$G:$G, $I$8)&gt;0, 1, IF(COUNTIF(Sheet1!$H:$H, $I$8)&gt;0, 2, IF(COUNTIF(Sheet1!$I:$I, $I$8)&gt;0, 3, IF(COUNTIF(Sheet1!$J:$J, $I$8)&gt;0, 4, 0)))))), "")</f>
        <v/>
      </c>
    </row>
    <row r="224" spans="9:9" x14ac:dyDescent="0.25">
      <c r="I224" s="3" t="str" cm="1">
        <f t="array" ref="I224">IFERROR(IF(E224="", "", INDEX(Sheet1!$G:$J, MATCH(E224, Sheet1!$C:$C, 0), IF(COUNTIF(Sheet1!$G:$G, $I$8)&gt;0, 1, IF(COUNTIF(Sheet1!$H:$H, $I$8)&gt;0, 2, IF(COUNTIF(Sheet1!$I:$I, $I$8)&gt;0, 3, IF(COUNTIF(Sheet1!$J:$J, $I$8)&gt;0, 4, 0)))))), "")</f>
        <v/>
      </c>
    </row>
    <row r="225" spans="9:9" x14ac:dyDescent="0.25">
      <c r="I225" s="3" t="str" cm="1">
        <f t="array" ref="I225">IFERROR(IF(E225="", "", INDEX(Sheet1!$G:$J, MATCH(E225, Sheet1!$C:$C, 0), IF(COUNTIF(Sheet1!$G:$G, $I$8)&gt;0, 1, IF(COUNTIF(Sheet1!$H:$H, $I$8)&gt;0, 2, IF(COUNTIF(Sheet1!$I:$I, $I$8)&gt;0, 3, IF(COUNTIF(Sheet1!$J:$J, $I$8)&gt;0, 4, 0)))))), "")</f>
        <v/>
      </c>
    </row>
    <row r="226" spans="9:9" x14ac:dyDescent="0.25">
      <c r="I226" s="3" t="str" cm="1">
        <f t="array" ref="I226">IFERROR(IF(E226="", "", INDEX(Sheet1!$G:$J, MATCH(E226, Sheet1!$C:$C, 0), IF(COUNTIF(Sheet1!$G:$G, $I$8)&gt;0, 1, IF(COUNTIF(Sheet1!$H:$H, $I$8)&gt;0, 2, IF(COUNTIF(Sheet1!$I:$I, $I$8)&gt;0, 3, IF(COUNTIF(Sheet1!$J:$J, $I$8)&gt;0, 4, 0)))))), "")</f>
        <v/>
      </c>
    </row>
    <row r="227" spans="9:9" x14ac:dyDescent="0.25">
      <c r="I227" s="3" t="str" cm="1">
        <f t="array" ref="I227">IFERROR(IF(E227="", "", INDEX(Sheet1!$G:$J, MATCH(E227, Sheet1!$C:$C, 0), IF(COUNTIF(Sheet1!$G:$G, $I$8)&gt;0, 1, IF(COUNTIF(Sheet1!$H:$H, $I$8)&gt;0, 2, IF(COUNTIF(Sheet1!$I:$I, $I$8)&gt;0, 3, IF(COUNTIF(Sheet1!$J:$J, $I$8)&gt;0, 4, 0)))))), "")</f>
        <v/>
      </c>
    </row>
    <row r="228" spans="9:9" x14ac:dyDescent="0.25">
      <c r="I228" s="3" t="str" cm="1">
        <f t="array" ref="I228">IFERROR(IF(E228="", "", INDEX(Sheet1!$G:$J, MATCH(E228, Sheet1!$C:$C, 0), IF(COUNTIF(Sheet1!$G:$G, $I$8)&gt;0, 1, IF(COUNTIF(Sheet1!$H:$H, $I$8)&gt;0, 2, IF(COUNTIF(Sheet1!$I:$I, $I$8)&gt;0, 3, IF(COUNTIF(Sheet1!$J:$J, $I$8)&gt;0, 4, 0)))))), "")</f>
        <v/>
      </c>
    </row>
    <row r="229" spans="9:9" x14ac:dyDescent="0.25">
      <c r="I229" s="3" t="str" cm="1">
        <f t="array" ref="I229">IFERROR(IF(E229="", "", INDEX(Sheet1!$G:$J, MATCH(E229, Sheet1!$C:$C, 0), IF(COUNTIF(Sheet1!$G:$G, $I$8)&gt;0, 1, IF(COUNTIF(Sheet1!$H:$H, $I$8)&gt;0, 2, IF(COUNTIF(Sheet1!$I:$I, $I$8)&gt;0, 3, IF(COUNTIF(Sheet1!$J:$J, $I$8)&gt;0, 4, 0)))))), "")</f>
        <v/>
      </c>
    </row>
    <row r="230" spans="9:9" x14ac:dyDescent="0.25">
      <c r="I230" s="3" t="str" cm="1">
        <f t="array" ref="I230">IFERROR(IF(E230="", "", INDEX(Sheet1!$G:$J, MATCH(E230, Sheet1!$C:$C, 0), IF(COUNTIF(Sheet1!$G:$G, $I$8)&gt;0, 1, IF(COUNTIF(Sheet1!$H:$H, $I$8)&gt;0, 2, IF(COUNTIF(Sheet1!$I:$I, $I$8)&gt;0, 3, IF(COUNTIF(Sheet1!$J:$J, $I$8)&gt;0, 4, 0)))))), "")</f>
        <v/>
      </c>
    </row>
    <row r="231" spans="9:9" x14ac:dyDescent="0.25">
      <c r="I231" s="3" t="str" cm="1">
        <f t="array" ref="I231">IFERROR(IF(E231="", "", INDEX(Sheet1!$G:$J, MATCH(E231, Sheet1!$C:$C, 0), IF(COUNTIF(Sheet1!$G:$G, $I$8)&gt;0, 1, IF(COUNTIF(Sheet1!$H:$H, $I$8)&gt;0, 2, IF(COUNTIF(Sheet1!$I:$I, $I$8)&gt;0, 3, IF(COUNTIF(Sheet1!$J:$J, $I$8)&gt;0, 4, 0)))))), "")</f>
        <v/>
      </c>
    </row>
    <row r="232" spans="9:9" x14ac:dyDescent="0.25">
      <c r="I232" s="3" t="str" cm="1">
        <f t="array" ref="I232">IFERROR(IF(E232="", "", INDEX(Sheet1!$G:$J, MATCH(E232, Sheet1!$C:$C, 0), IF(COUNTIF(Sheet1!$G:$G, $I$8)&gt;0, 1, IF(COUNTIF(Sheet1!$H:$H, $I$8)&gt;0, 2, IF(COUNTIF(Sheet1!$I:$I, $I$8)&gt;0, 3, IF(COUNTIF(Sheet1!$J:$J, $I$8)&gt;0, 4, 0)))))), "")</f>
        <v/>
      </c>
    </row>
    <row r="233" spans="9:9" x14ac:dyDescent="0.25">
      <c r="I233" s="3" t="str" cm="1">
        <f t="array" ref="I233">IFERROR(IF(E233="", "", INDEX(Sheet1!$G:$J, MATCH(E233, Sheet1!$C:$C, 0), IF(COUNTIF(Sheet1!$G:$G, $I$8)&gt;0, 1, IF(COUNTIF(Sheet1!$H:$H, $I$8)&gt;0, 2, IF(COUNTIF(Sheet1!$I:$I, $I$8)&gt;0, 3, IF(COUNTIF(Sheet1!$J:$J, $I$8)&gt;0, 4, 0)))))), "")</f>
        <v/>
      </c>
    </row>
    <row r="234" spans="9:9" x14ac:dyDescent="0.25">
      <c r="I234" s="3" t="str" cm="1">
        <f t="array" ref="I234">IFERROR(IF(E234="", "", INDEX(Sheet1!$G:$J, MATCH(E234, Sheet1!$C:$C, 0), IF(COUNTIF(Sheet1!$G:$G, $I$8)&gt;0, 1, IF(COUNTIF(Sheet1!$H:$H, $I$8)&gt;0, 2, IF(COUNTIF(Sheet1!$I:$I, $I$8)&gt;0, 3, IF(COUNTIF(Sheet1!$J:$J, $I$8)&gt;0, 4, 0)))))), "")</f>
        <v/>
      </c>
    </row>
    <row r="235" spans="9:9" x14ac:dyDescent="0.25">
      <c r="I235" s="3" t="str" cm="1">
        <f t="array" ref="I235">IFERROR(IF(E235="", "", INDEX(Sheet1!$G:$J, MATCH(E235, Sheet1!$C:$C, 0), IF(COUNTIF(Sheet1!$G:$G, $I$8)&gt;0, 1, IF(COUNTIF(Sheet1!$H:$H, $I$8)&gt;0, 2, IF(COUNTIF(Sheet1!$I:$I, $I$8)&gt;0, 3, IF(COUNTIF(Sheet1!$J:$J, $I$8)&gt;0, 4, 0)))))), "")</f>
        <v/>
      </c>
    </row>
    <row r="236" spans="9:9" x14ac:dyDescent="0.25">
      <c r="I236" s="3" t="str" cm="1">
        <f t="array" ref="I236">IFERROR(IF(E236="", "", INDEX(Sheet1!$G:$J, MATCH(E236, Sheet1!$C:$C, 0), IF(COUNTIF(Sheet1!$G:$G, $I$8)&gt;0, 1, IF(COUNTIF(Sheet1!$H:$H, $I$8)&gt;0, 2, IF(COUNTIF(Sheet1!$I:$I, $I$8)&gt;0, 3, IF(COUNTIF(Sheet1!$J:$J, $I$8)&gt;0, 4, 0)))))), "")</f>
        <v/>
      </c>
    </row>
    <row r="237" spans="9:9" x14ac:dyDescent="0.25">
      <c r="I237" s="3" t="str" cm="1">
        <f t="array" ref="I237">IFERROR(IF(E237="", "", INDEX(Sheet1!$G:$J, MATCH(E237, Sheet1!$C:$C, 0), IF(COUNTIF(Sheet1!$G:$G, $I$8)&gt;0, 1, IF(COUNTIF(Sheet1!$H:$H, $I$8)&gt;0, 2, IF(COUNTIF(Sheet1!$I:$I, $I$8)&gt;0, 3, IF(COUNTIF(Sheet1!$J:$J, $I$8)&gt;0, 4, 0)))))), "")</f>
        <v/>
      </c>
    </row>
    <row r="238" spans="9:9" x14ac:dyDescent="0.25">
      <c r="I238" s="3" t="str" cm="1">
        <f t="array" ref="I238">IFERROR(IF(E238="", "", INDEX(Sheet1!$G:$J, MATCH(E238, Sheet1!$C:$C, 0), IF(COUNTIF(Sheet1!$G:$G, $I$8)&gt;0, 1, IF(COUNTIF(Sheet1!$H:$H, $I$8)&gt;0, 2, IF(COUNTIF(Sheet1!$I:$I, $I$8)&gt;0, 3, IF(COUNTIF(Sheet1!$J:$J, $I$8)&gt;0, 4, 0)))))), "")</f>
        <v/>
      </c>
    </row>
    <row r="239" spans="9:9" x14ac:dyDescent="0.25">
      <c r="I239" s="3" t="str" cm="1">
        <f t="array" ref="I239">IFERROR(IF(E239="", "", INDEX(Sheet1!$G:$J, MATCH(E239, Sheet1!$C:$C, 0), IF(COUNTIF(Sheet1!$G:$G, $I$8)&gt;0, 1, IF(COUNTIF(Sheet1!$H:$H, $I$8)&gt;0, 2, IF(COUNTIF(Sheet1!$I:$I, $I$8)&gt;0, 3, IF(COUNTIF(Sheet1!$J:$J, $I$8)&gt;0, 4, 0)))))), "")</f>
        <v/>
      </c>
    </row>
    <row r="240" spans="9:9" x14ac:dyDescent="0.25">
      <c r="I240" s="3" t="str" cm="1">
        <f t="array" ref="I240">IFERROR(IF(E240="", "", INDEX(Sheet1!$G:$J, MATCH(E240, Sheet1!$C:$C, 0), IF(COUNTIF(Sheet1!$G:$G, $I$8)&gt;0, 1, IF(COUNTIF(Sheet1!$H:$H, $I$8)&gt;0, 2, IF(COUNTIF(Sheet1!$I:$I, $I$8)&gt;0, 3, IF(COUNTIF(Sheet1!$J:$J, $I$8)&gt;0, 4, 0)))))), "")</f>
        <v/>
      </c>
    </row>
    <row r="241" spans="9:9" x14ac:dyDescent="0.25">
      <c r="I241" s="3" t="str" cm="1">
        <f t="array" ref="I241">IFERROR(IF(E241="", "", INDEX(Sheet1!$G:$J, MATCH(E241, Sheet1!$C:$C, 0), IF(COUNTIF(Sheet1!$G:$G, $I$8)&gt;0, 1, IF(COUNTIF(Sheet1!$H:$H, $I$8)&gt;0, 2, IF(COUNTIF(Sheet1!$I:$I, $I$8)&gt;0, 3, IF(COUNTIF(Sheet1!$J:$J, $I$8)&gt;0, 4, 0)))))), "")</f>
        <v/>
      </c>
    </row>
    <row r="242" spans="9:9" x14ac:dyDescent="0.25">
      <c r="I242" s="3" t="str" cm="1">
        <f t="array" ref="I242">IFERROR(IF(E242="", "", INDEX(Sheet1!$G:$J, MATCH(E242, Sheet1!$C:$C, 0), IF(COUNTIF(Sheet1!$G:$G, $I$8)&gt;0, 1, IF(COUNTIF(Sheet1!$H:$H, $I$8)&gt;0, 2, IF(COUNTIF(Sheet1!$I:$I, $I$8)&gt;0, 3, IF(COUNTIF(Sheet1!$J:$J, $I$8)&gt;0, 4, 0)))))), "")</f>
        <v/>
      </c>
    </row>
    <row r="243" spans="9:9" x14ac:dyDescent="0.25">
      <c r="I243" s="3" t="str" cm="1">
        <f t="array" ref="I243">IFERROR(IF(E243="", "", INDEX(Sheet1!$G:$J, MATCH(E243, Sheet1!$C:$C, 0), IF(COUNTIF(Sheet1!$G:$G, $I$8)&gt;0, 1, IF(COUNTIF(Sheet1!$H:$H, $I$8)&gt;0, 2, IF(COUNTIF(Sheet1!$I:$I, $I$8)&gt;0, 3, IF(COUNTIF(Sheet1!$J:$J, $I$8)&gt;0, 4, 0)))))), "")</f>
        <v/>
      </c>
    </row>
    <row r="244" spans="9:9" x14ac:dyDescent="0.25">
      <c r="I244" s="3" t="str" cm="1">
        <f t="array" ref="I244">IFERROR(IF(E244="", "", INDEX(Sheet1!$G:$J, MATCH(E244, Sheet1!$C:$C, 0), IF(COUNTIF(Sheet1!$G:$G, $I$8)&gt;0, 1, IF(COUNTIF(Sheet1!$H:$H, $I$8)&gt;0, 2, IF(COUNTIF(Sheet1!$I:$I, $I$8)&gt;0, 3, IF(COUNTIF(Sheet1!$J:$J, $I$8)&gt;0, 4, 0)))))), "")</f>
        <v/>
      </c>
    </row>
    <row r="245" spans="9:9" x14ac:dyDescent="0.25">
      <c r="I245" s="3" t="str" cm="1">
        <f t="array" ref="I245">IFERROR(IF(E245="", "", INDEX(Sheet1!$G:$J, MATCH(E245, Sheet1!$C:$C, 0), IF(COUNTIF(Sheet1!$G:$G, $I$8)&gt;0, 1, IF(COUNTIF(Sheet1!$H:$H, $I$8)&gt;0, 2, IF(COUNTIF(Sheet1!$I:$I, $I$8)&gt;0, 3, IF(COUNTIF(Sheet1!$J:$J, $I$8)&gt;0, 4, 0)))))), "")</f>
        <v/>
      </c>
    </row>
    <row r="246" spans="9:9" x14ac:dyDescent="0.25">
      <c r="I246" s="3" t="str" cm="1">
        <f t="array" ref="I246">IFERROR(IF(E246="", "", INDEX(Sheet1!$G:$J, MATCH(E246, Sheet1!$C:$C, 0), IF(COUNTIF(Sheet1!$G:$G, $I$8)&gt;0, 1, IF(COUNTIF(Sheet1!$H:$H, $I$8)&gt;0, 2, IF(COUNTIF(Sheet1!$I:$I, $I$8)&gt;0, 3, IF(COUNTIF(Sheet1!$J:$J, $I$8)&gt;0, 4, 0)))))), "")</f>
        <v/>
      </c>
    </row>
    <row r="247" spans="9:9" x14ac:dyDescent="0.25">
      <c r="I247" s="3" t="str" cm="1">
        <f t="array" ref="I247">IFERROR(IF(E247="", "", INDEX(Sheet1!$G:$J, MATCH(E247, Sheet1!$C:$C, 0), IF(COUNTIF(Sheet1!$G:$G, $I$8)&gt;0, 1, IF(COUNTIF(Sheet1!$H:$H, $I$8)&gt;0, 2, IF(COUNTIF(Sheet1!$I:$I, $I$8)&gt;0, 3, IF(COUNTIF(Sheet1!$J:$J, $I$8)&gt;0, 4, 0)))))), "")</f>
        <v/>
      </c>
    </row>
    <row r="248" spans="9:9" x14ac:dyDescent="0.25">
      <c r="I248" s="3" t="str" cm="1">
        <f t="array" ref="I248">IFERROR(IF(E248="", "", INDEX(Sheet1!$G:$J, MATCH(E248, Sheet1!$C:$C, 0), IF(COUNTIF(Sheet1!$G:$G, $I$8)&gt;0, 1, IF(COUNTIF(Sheet1!$H:$H, $I$8)&gt;0, 2, IF(COUNTIF(Sheet1!$I:$I, $I$8)&gt;0, 3, IF(COUNTIF(Sheet1!$J:$J, $I$8)&gt;0, 4, 0)))))), "")</f>
        <v/>
      </c>
    </row>
    <row r="249" spans="9:9" x14ac:dyDescent="0.25">
      <c r="I249" s="3" t="str" cm="1">
        <f t="array" ref="I249">IFERROR(IF(E249="", "", INDEX(Sheet1!$G:$J, MATCH(E249, Sheet1!$C:$C, 0), IF(COUNTIF(Sheet1!$G:$G, $I$8)&gt;0, 1, IF(COUNTIF(Sheet1!$H:$H, $I$8)&gt;0, 2, IF(COUNTIF(Sheet1!$I:$I, $I$8)&gt;0, 3, IF(COUNTIF(Sheet1!$J:$J, $I$8)&gt;0, 4, 0)))))), "")</f>
        <v/>
      </c>
    </row>
    <row r="250" spans="9:9" x14ac:dyDescent="0.25">
      <c r="I250" s="3" t="str" cm="1">
        <f t="array" ref="I250">IFERROR(IF(E250="", "", INDEX(Sheet1!$G:$J, MATCH(E250, Sheet1!$C:$C, 0), IF(COUNTIF(Sheet1!$G:$G, $I$8)&gt;0, 1, IF(COUNTIF(Sheet1!$H:$H, $I$8)&gt;0, 2, IF(COUNTIF(Sheet1!$I:$I, $I$8)&gt;0, 3, IF(COUNTIF(Sheet1!$J:$J, $I$8)&gt;0, 4, 0)))))), "")</f>
        <v/>
      </c>
    </row>
    <row r="251" spans="9:9" x14ac:dyDescent="0.25">
      <c r="I251" s="3" t="str" cm="1">
        <f t="array" ref="I251">IFERROR(IF(E251="", "", INDEX(Sheet1!$G:$J, MATCH(E251, Sheet1!$C:$C, 0), IF(COUNTIF(Sheet1!$G:$G, $I$8)&gt;0, 1, IF(COUNTIF(Sheet1!$H:$H, $I$8)&gt;0, 2, IF(COUNTIF(Sheet1!$I:$I, $I$8)&gt;0, 3, IF(COUNTIF(Sheet1!$J:$J, $I$8)&gt;0, 4, 0)))))), "")</f>
        <v/>
      </c>
    </row>
    <row r="252" spans="9:9" x14ac:dyDescent="0.25">
      <c r="I252" s="3" t="str" cm="1">
        <f t="array" ref="I252">IFERROR(IF(E252="", "", INDEX(Sheet1!$G:$J, MATCH(E252, Sheet1!$C:$C, 0), IF(COUNTIF(Sheet1!$G:$G, $I$8)&gt;0, 1, IF(COUNTIF(Sheet1!$H:$H, $I$8)&gt;0, 2, IF(COUNTIF(Sheet1!$I:$I, $I$8)&gt;0, 3, IF(COUNTIF(Sheet1!$J:$J, $I$8)&gt;0, 4, 0)))))), "")</f>
        <v/>
      </c>
    </row>
    <row r="253" spans="9:9" x14ac:dyDescent="0.25">
      <c r="I253" s="3" t="str" cm="1">
        <f t="array" ref="I253">IFERROR(IF(E253="", "", INDEX(Sheet1!$G:$J, MATCH(E253, Sheet1!$C:$C, 0), IF(COUNTIF(Sheet1!$G:$G, $I$8)&gt;0, 1, IF(COUNTIF(Sheet1!$H:$H, $I$8)&gt;0, 2, IF(COUNTIF(Sheet1!$I:$I, $I$8)&gt;0, 3, IF(COUNTIF(Sheet1!$J:$J, $I$8)&gt;0, 4, 0)))))), "")</f>
        <v/>
      </c>
    </row>
    <row r="254" spans="9:9" x14ac:dyDescent="0.25">
      <c r="I254" s="3" t="str" cm="1">
        <f t="array" ref="I254">IFERROR(IF(E254="", "", INDEX(Sheet1!$G:$J, MATCH(E254, Sheet1!$C:$C, 0), IF(COUNTIF(Sheet1!$G:$G, $I$8)&gt;0, 1, IF(COUNTIF(Sheet1!$H:$H, $I$8)&gt;0, 2, IF(COUNTIF(Sheet1!$I:$I, $I$8)&gt;0, 3, IF(COUNTIF(Sheet1!$J:$J, $I$8)&gt;0, 4, 0)))))), "")</f>
        <v/>
      </c>
    </row>
    <row r="255" spans="9:9" x14ac:dyDescent="0.25">
      <c r="I255" s="3" t="str" cm="1">
        <f t="array" ref="I255">IFERROR(IF(E255="", "", INDEX(Sheet1!$G:$J, MATCH(E255, Sheet1!$C:$C, 0), IF(COUNTIF(Sheet1!$G:$G, $I$8)&gt;0, 1, IF(COUNTIF(Sheet1!$H:$H, $I$8)&gt;0, 2, IF(COUNTIF(Sheet1!$I:$I, $I$8)&gt;0, 3, IF(COUNTIF(Sheet1!$J:$J, $I$8)&gt;0, 4, 0)))))), "")</f>
        <v/>
      </c>
    </row>
    <row r="256" spans="9:9" x14ac:dyDescent="0.25">
      <c r="I256" s="3" t="str" cm="1">
        <f t="array" ref="I256">IFERROR(IF(E256="", "", INDEX(Sheet1!$G:$J, MATCH(E256, Sheet1!$C:$C, 0), IF(COUNTIF(Sheet1!$G:$G, $I$8)&gt;0, 1, IF(COUNTIF(Sheet1!$H:$H, $I$8)&gt;0, 2, IF(COUNTIF(Sheet1!$I:$I, $I$8)&gt;0, 3, IF(COUNTIF(Sheet1!$J:$J, $I$8)&gt;0, 4, 0)))))), "")</f>
        <v/>
      </c>
    </row>
    <row r="257" spans="9:9" x14ac:dyDescent="0.25">
      <c r="I257" s="3" t="str" cm="1">
        <f t="array" ref="I257">IFERROR(IF(E257="", "", INDEX(Sheet1!$G:$J, MATCH(E257, Sheet1!$C:$C, 0), IF(COUNTIF(Sheet1!$G:$G, $I$8)&gt;0, 1, IF(COUNTIF(Sheet1!$H:$H, $I$8)&gt;0, 2, IF(COUNTIF(Sheet1!$I:$I, $I$8)&gt;0, 3, IF(COUNTIF(Sheet1!$J:$J, $I$8)&gt;0, 4, 0)))))), "")</f>
        <v/>
      </c>
    </row>
    <row r="258" spans="9:9" x14ac:dyDescent="0.25">
      <c r="I258" s="3" t="str" cm="1">
        <f t="array" ref="I258">IFERROR(IF(E258="", "", INDEX(Sheet1!$G:$J, MATCH(E258, Sheet1!$C:$C, 0), IF(COUNTIF(Sheet1!$G:$G, $I$8)&gt;0, 1, IF(COUNTIF(Sheet1!$H:$H, $I$8)&gt;0, 2, IF(COUNTIF(Sheet1!$I:$I, $I$8)&gt;0, 3, IF(COUNTIF(Sheet1!$J:$J, $I$8)&gt;0, 4, 0)))))), "")</f>
        <v/>
      </c>
    </row>
    <row r="259" spans="9:9" x14ac:dyDescent="0.25">
      <c r="I259" s="3" t="str" cm="1">
        <f t="array" ref="I259">IFERROR(IF(E259="", "", INDEX(Sheet1!$G:$J, MATCH(E259, Sheet1!$C:$C, 0), IF(COUNTIF(Sheet1!$G:$G, $I$8)&gt;0, 1, IF(COUNTIF(Sheet1!$H:$H, $I$8)&gt;0, 2, IF(COUNTIF(Sheet1!$I:$I, $I$8)&gt;0, 3, IF(COUNTIF(Sheet1!$J:$J, $I$8)&gt;0, 4, 0)))))), "")</f>
        <v/>
      </c>
    </row>
    <row r="260" spans="9:9" x14ac:dyDescent="0.25">
      <c r="I260" s="3" t="str" cm="1">
        <f t="array" ref="I260">IFERROR(IF(E260="", "", INDEX(Sheet1!$G:$J, MATCH(E260, Sheet1!$C:$C, 0), IF(COUNTIF(Sheet1!$G:$G, $I$8)&gt;0, 1, IF(COUNTIF(Sheet1!$H:$H, $I$8)&gt;0, 2, IF(COUNTIF(Sheet1!$I:$I, $I$8)&gt;0, 3, IF(COUNTIF(Sheet1!$J:$J, $I$8)&gt;0, 4, 0)))))), "")</f>
        <v/>
      </c>
    </row>
    <row r="261" spans="9:9" x14ac:dyDescent="0.25">
      <c r="I261" s="3" t="str" cm="1">
        <f t="array" ref="I261">IFERROR(IF(E261="", "", INDEX(Sheet1!$G:$J, MATCH(E261, Sheet1!$C:$C, 0), IF(COUNTIF(Sheet1!$G:$G, $I$8)&gt;0, 1, IF(COUNTIF(Sheet1!$H:$H, $I$8)&gt;0, 2, IF(COUNTIF(Sheet1!$I:$I, $I$8)&gt;0, 3, IF(COUNTIF(Sheet1!$J:$J, $I$8)&gt;0, 4, 0)))))), "")</f>
        <v/>
      </c>
    </row>
    <row r="262" spans="9:9" x14ac:dyDescent="0.25">
      <c r="I262" s="3" t="str" cm="1">
        <f t="array" ref="I262">IFERROR(IF(E262="", "", INDEX(Sheet1!$G:$J, MATCH(E262, Sheet1!$C:$C, 0), IF(COUNTIF(Sheet1!$G:$G, $I$8)&gt;0, 1, IF(COUNTIF(Sheet1!$H:$H, $I$8)&gt;0, 2, IF(COUNTIF(Sheet1!$I:$I, $I$8)&gt;0, 3, IF(COUNTIF(Sheet1!$J:$J, $I$8)&gt;0, 4, 0)))))), "")</f>
        <v/>
      </c>
    </row>
    <row r="263" spans="9:9" x14ac:dyDescent="0.25">
      <c r="I263" s="3" t="str" cm="1">
        <f t="array" ref="I263">IFERROR(IF(E263="", "", INDEX(Sheet1!$G:$J, MATCH(E263, Sheet1!$C:$C, 0), IF(COUNTIF(Sheet1!$G:$G, $I$8)&gt;0, 1, IF(COUNTIF(Sheet1!$H:$H, $I$8)&gt;0, 2, IF(COUNTIF(Sheet1!$I:$I, $I$8)&gt;0, 3, IF(COUNTIF(Sheet1!$J:$J, $I$8)&gt;0, 4, 0)))))), "")</f>
        <v/>
      </c>
    </row>
    <row r="264" spans="9:9" x14ac:dyDescent="0.25">
      <c r="I264" s="3" t="str" cm="1">
        <f t="array" ref="I264">IFERROR(IF(E264="", "", INDEX(Sheet1!$G:$J, MATCH(E264, Sheet1!$C:$C, 0), IF(COUNTIF(Sheet1!$G:$G, $I$8)&gt;0, 1, IF(COUNTIF(Sheet1!$H:$H, $I$8)&gt;0, 2, IF(COUNTIF(Sheet1!$I:$I, $I$8)&gt;0, 3, IF(COUNTIF(Sheet1!$J:$J, $I$8)&gt;0, 4, 0)))))), "")</f>
        <v/>
      </c>
    </row>
    <row r="265" spans="9:9" x14ac:dyDescent="0.25">
      <c r="I265" s="3" t="str" cm="1">
        <f t="array" ref="I265">IFERROR(IF(E265="", "", INDEX(Sheet1!$G:$J, MATCH(E265, Sheet1!$C:$C, 0), IF(COUNTIF(Sheet1!$G:$G, $I$8)&gt;0, 1, IF(COUNTIF(Sheet1!$H:$H, $I$8)&gt;0, 2, IF(COUNTIF(Sheet1!$I:$I, $I$8)&gt;0, 3, IF(COUNTIF(Sheet1!$J:$J, $I$8)&gt;0, 4, 0)))))), "")</f>
        <v/>
      </c>
    </row>
    <row r="266" spans="9:9" x14ac:dyDescent="0.25">
      <c r="I266" s="3" t="str" cm="1">
        <f t="array" ref="I266">IFERROR(IF(E266="", "", INDEX(Sheet1!$G:$J, MATCH(E266, Sheet1!$C:$C, 0), IF(COUNTIF(Sheet1!$G:$G, $I$8)&gt;0, 1, IF(COUNTIF(Sheet1!$H:$H, $I$8)&gt;0, 2, IF(COUNTIF(Sheet1!$I:$I, $I$8)&gt;0, 3, IF(COUNTIF(Sheet1!$J:$J, $I$8)&gt;0, 4, 0)))))), "")</f>
        <v/>
      </c>
    </row>
    <row r="267" spans="9:9" x14ac:dyDescent="0.25">
      <c r="I267" s="3" t="str" cm="1">
        <f t="array" ref="I267">IFERROR(IF(E267="", "", INDEX(Sheet1!$G:$J, MATCH(E267, Sheet1!$C:$C, 0), IF(COUNTIF(Sheet1!$G:$G, $I$8)&gt;0, 1, IF(COUNTIF(Sheet1!$H:$H, $I$8)&gt;0, 2, IF(COUNTIF(Sheet1!$I:$I, $I$8)&gt;0, 3, IF(COUNTIF(Sheet1!$J:$J, $I$8)&gt;0, 4, 0)))))), "")</f>
        <v/>
      </c>
    </row>
    <row r="268" spans="9:9" x14ac:dyDescent="0.25">
      <c r="I268" s="3" t="str" cm="1">
        <f t="array" ref="I268">IFERROR(IF(E268="", "", INDEX(Sheet1!$G:$J, MATCH(E268, Sheet1!$C:$C, 0), IF(COUNTIF(Sheet1!$G:$G, $I$8)&gt;0, 1, IF(COUNTIF(Sheet1!$H:$H, $I$8)&gt;0, 2, IF(COUNTIF(Sheet1!$I:$I, $I$8)&gt;0, 3, IF(COUNTIF(Sheet1!$J:$J, $I$8)&gt;0, 4, 0)))))), "")</f>
        <v/>
      </c>
    </row>
    <row r="269" spans="9:9" x14ac:dyDescent="0.25">
      <c r="I269" s="3" t="str" cm="1">
        <f t="array" ref="I269">IFERROR(IF(E269="", "", INDEX(Sheet1!$G:$J, MATCH(E269, Sheet1!$C:$C, 0), IF(COUNTIF(Sheet1!$G:$G, $I$8)&gt;0, 1, IF(COUNTIF(Sheet1!$H:$H, $I$8)&gt;0, 2, IF(COUNTIF(Sheet1!$I:$I, $I$8)&gt;0, 3, IF(COUNTIF(Sheet1!$J:$J, $I$8)&gt;0, 4, 0)))))), "")</f>
        <v/>
      </c>
    </row>
    <row r="270" spans="9:9" x14ac:dyDescent="0.25">
      <c r="I270" s="3" t="str" cm="1">
        <f t="array" ref="I270">IFERROR(IF(E270="", "", INDEX(Sheet1!$G:$J, MATCH(E270, Sheet1!$C:$C, 0), IF(COUNTIF(Sheet1!$G:$G, $I$8)&gt;0, 1, IF(COUNTIF(Sheet1!$H:$H, $I$8)&gt;0, 2, IF(COUNTIF(Sheet1!$I:$I, $I$8)&gt;0, 3, IF(COUNTIF(Sheet1!$J:$J, $I$8)&gt;0, 4, 0)))))), "")</f>
        <v/>
      </c>
    </row>
    <row r="271" spans="9:9" x14ac:dyDescent="0.25">
      <c r="I271" s="3" t="str" cm="1">
        <f t="array" ref="I271">IFERROR(IF(E271="", "", INDEX(Sheet1!$G:$J, MATCH(E271, Sheet1!$C:$C, 0), IF(COUNTIF(Sheet1!$G:$G, $I$8)&gt;0, 1, IF(COUNTIF(Sheet1!$H:$H, $I$8)&gt;0, 2, IF(COUNTIF(Sheet1!$I:$I, $I$8)&gt;0, 3, IF(COUNTIF(Sheet1!$J:$J, $I$8)&gt;0, 4, 0)))))), "")</f>
        <v/>
      </c>
    </row>
    <row r="272" spans="9:9" x14ac:dyDescent="0.25">
      <c r="I272" s="3" t="str" cm="1">
        <f t="array" ref="I272">IFERROR(IF(E272="", "", INDEX(Sheet1!$G:$J, MATCH(E272, Sheet1!$C:$C, 0), IF(COUNTIF(Sheet1!$G:$G, $I$8)&gt;0, 1, IF(COUNTIF(Sheet1!$H:$H, $I$8)&gt;0, 2, IF(COUNTIF(Sheet1!$I:$I, $I$8)&gt;0, 3, IF(COUNTIF(Sheet1!$J:$J, $I$8)&gt;0, 4, 0)))))), "")</f>
        <v/>
      </c>
    </row>
    <row r="273" spans="9:9" x14ac:dyDescent="0.25">
      <c r="I273" s="3" t="str" cm="1">
        <f t="array" ref="I273">IFERROR(IF(E273="", "", INDEX(Sheet1!$G:$J, MATCH(E273, Sheet1!$C:$C, 0), IF(COUNTIF(Sheet1!$G:$G, $I$8)&gt;0, 1, IF(COUNTIF(Sheet1!$H:$H, $I$8)&gt;0, 2, IF(COUNTIF(Sheet1!$I:$I, $I$8)&gt;0, 3, IF(COUNTIF(Sheet1!$J:$J, $I$8)&gt;0, 4, 0)))))), "")</f>
        <v/>
      </c>
    </row>
    <row r="274" spans="9:9" x14ac:dyDescent="0.25">
      <c r="I274" s="3" t="str" cm="1">
        <f t="array" ref="I274">IFERROR(IF(E274="", "", INDEX(Sheet1!$G:$J, MATCH(E274, Sheet1!$C:$C, 0), IF(COUNTIF(Sheet1!$G:$G, $I$8)&gt;0, 1, IF(COUNTIF(Sheet1!$H:$H, $I$8)&gt;0, 2, IF(COUNTIF(Sheet1!$I:$I, $I$8)&gt;0, 3, IF(COUNTIF(Sheet1!$J:$J, $I$8)&gt;0, 4, 0)))))), "")</f>
        <v/>
      </c>
    </row>
    <row r="275" spans="9:9" x14ac:dyDescent="0.25">
      <c r="I275" s="3" t="str" cm="1">
        <f t="array" ref="I275">IFERROR(IF(E275="", "", INDEX(Sheet1!$G:$J, MATCH(E275, Sheet1!$C:$C, 0), IF(COUNTIF(Sheet1!$G:$G, $I$8)&gt;0, 1, IF(COUNTIF(Sheet1!$H:$H, $I$8)&gt;0, 2, IF(COUNTIF(Sheet1!$I:$I, $I$8)&gt;0, 3, IF(COUNTIF(Sheet1!$J:$J, $I$8)&gt;0, 4, 0)))))), "")</f>
        <v/>
      </c>
    </row>
    <row r="276" spans="9:9" x14ac:dyDescent="0.25">
      <c r="I276" s="3" t="str" cm="1">
        <f t="array" ref="I276">IFERROR(IF(E276="", "", INDEX(Sheet1!$G:$J, MATCH(E276, Sheet1!$C:$C, 0), IF(COUNTIF(Sheet1!$G:$G, $I$8)&gt;0, 1, IF(COUNTIF(Sheet1!$H:$H, $I$8)&gt;0, 2, IF(COUNTIF(Sheet1!$I:$I, $I$8)&gt;0, 3, IF(COUNTIF(Sheet1!$J:$J, $I$8)&gt;0, 4, 0)))))), "")</f>
        <v/>
      </c>
    </row>
    <row r="277" spans="9:9" x14ac:dyDescent="0.25">
      <c r="I277" s="3" t="str" cm="1">
        <f t="array" ref="I277">IFERROR(IF(E277="", "", INDEX(Sheet1!$G:$J, MATCH(E277, Sheet1!$C:$C, 0), IF(COUNTIF(Sheet1!$G:$G, $I$8)&gt;0, 1, IF(COUNTIF(Sheet1!$H:$H, $I$8)&gt;0, 2, IF(COUNTIF(Sheet1!$I:$I, $I$8)&gt;0, 3, IF(COUNTIF(Sheet1!$J:$J, $I$8)&gt;0, 4, 0)))))), "")</f>
        <v/>
      </c>
    </row>
    <row r="278" spans="9:9" x14ac:dyDescent="0.25">
      <c r="I278" s="3" t="str" cm="1">
        <f t="array" ref="I278">IFERROR(IF(E278="", "", INDEX(Sheet1!$G:$J, MATCH(E278, Sheet1!$C:$C, 0), IF(COUNTIF(Sheet1!$G:$G, $I$8)&gt;0, 1, IF(COUNTIF(Sheet1!$H:$H, $I$8)&gt;0, 2, IF(COUNTIF(Sheet1!$I:$I, $I$8)&gt;0, 3, IF(COUNTIF(Sheet1!$J:$J, $I$8)&gt;0, 4, 0)))))), "")</f>
        <v/>
      </c>
    </row>
    <row r="279" spans="9:9" x14ac:dyDescent="0.25">
      <c r="I279" s="3" t="str" cm="1">
        <f t="array" ref="I279">IFERROR(IF(E279="", "", INDEX(Sheet1!$G:$J, MATCH(E279, Sheet1!$C:$C, 0), IF(COUNTIF(Sheet1!$G:$G, $I$8)&gt;0, 1, IF(COUNTIF(Sheet1!$H:$H, $I$8)&gt;0, 2, IF(COUNTIF(Sheet1!$I:$I, $I$8)&gt;0, 3, IF(COUNTIF(Sheet1!$J:$J, $I$8)&gt;0, 4, 0)))))), "")</f>
        <v/>
      </c>
    </row>
    <row r="280" spans="9:9" x14ac:dyDescent="0.25">
      <c r="I280" s="3" t="str" cm="1">
        <f t="array" ref="I280">IFERROR(IF(E280="", "", INDEX(Sheet1!$G:$J, MATCH(E280, Sheet1!$C:$C, 0), IF(COUNTIF(Sheet1!$G:$G, $I$8)&gt;0, 1, IF(COUNTIF(Sheet1!$H:$H, $I$8)&gt;0, 2, IF(COUNTIF(Sheet1!$I:$I, $I$8)&gt;0, 3, IF(COUNTIF(Sheet1!$J:$J, $I$8)&gt;0, 4, 0)))))), "")</f>
        <v/>
      </c>
    </row>
    <row r="281" spans="9:9" x14ac:dyDescent="0.25">
      <c r="I281" s="3" t="str" cm="1">
        <f t="array" ref="I281">IFERROR(IF(E281="", "", INDEX(Sheet1!$G:$J, MATCH(E281, Sheet1!$C:$C, 0), IF(COUNTIF(Sheet1!$G:$G, $I$8)&gt;0, 1, IF(COUNTIF(Sheet1!$H:$H, $I$8)&gt;0, 2, IF(COUNTIF(Sheet1!$I:$I, $I$8)&gt;0, 3, IF(COUNTIF(Sheet1!$J:$J, $I$8)&gt;0, 4, 0)))))), "")</f>
        <v/>
      </c>
    </row>
    <row r="282" spans="9:9" x14ac:dyDescent="0.25">
      <c r="I282" s="3" t="str" cm="1">
        <f t="array" ref="I282">IFERROR(IF(E282="", "", INDEX(Sheet1!$G:$J, MATCH(E282, Sheet1!$C:$C, 0), IF(COUNTIF(Sheet1!$G:$G, $I$8)&gt;0, 1, IF(COUNTIF(Sheet1!$H:$H, $I$8)&gt;0, 2, IF(COUNTIF(Sheet1!$I:$I, $I$8)&gt;0, 3, IF(COUNTIF(Sheet1!$J:$J, $I$8)&gt;0, 4, 0)))))), "")</f>
        <v/>
      </c>
    </row>
    <row r="283" spans="9:9" x14ac:dyDescent="0.25">
      <c r="I283" s="3" t="str" cm="1">
        <f t="array" ref="I283">IFERROR(IF(E283="", "", INDEX(Sheet1!$G:$J, MATCH(E283, Sheet1!$C:$C, 0), IF(COUNTIF(Sheet1!$G:$G, $I$8)&gt;0, 1, IF(COUNTIF(Sheet1!$H:$H, $I$8)&gt;0, 2, IF(COUNTIF(Sheet1!$I:$I, $I$8)&gt;0, 3, IF(COUNTIF(Sheet1!$J:$J, $I$8)&gt;0, 4, 0)))))), "")</f>
        <v/>
      </c>
    </row>
    <row r="284" spans="9:9" x14ac:dyDescent="0.25">
      <c r="I284" s="3" t="str" cm="1">
        <f t="array" ref="I284">IFERROR(IF(E284="", "", INDEX(Sheet1!$G:$J, MATCH(E284, Sheet1!$C:$C, 0), IF(COUNTIF(Sheet1!$G:$G, $I$8)&gt;0, 1, IF(COUNTIF(Sheet1!$H:$H, $I$8)&gt;0, 2, IF(COUNTIF(Sheet1!$I:$I, $I$8)&gt;0, 3, IF(COUNTIF(Sheet1!$J:$J, $I$8)&gt;0, 4, 0)))))), "")</f>
        <v/>
      </c>
    </row>
    <row r="285" spans="9:9" x14ac:dyDescent="0.25">
      <c r="I285" s="3" t="str" cm="1">
        <f t="array" ref="I285">IFERROR(IF(E285="", "", INDEX(Sheet1!$G:$J, MATCH(E285, Sheet1!$C:$C, 0), IF(COUNTIF(Sheet1!$G:$G, $I$8)&gt;0, 1, IF(COUNTIF(Sheet1!$H:$H, $I$8)&gt;0, 2, IF(COUNTIF(Sheet1!$I:$I, $I$8)&gt;0, 3, IF(COUNTIF(Sheet1!$J:$J, $I$8)&gt;0, 4, 0)))))), "")</f>
        <v/>
      </c>
    </row>
    <row r="286" spans="9:9" x14ac:dyDescent="0.25">
      <c r="I286" s="3" t="str" cm="1">
        <f t="array" ref="I286">IFERROR(IF(E286="", "", INDEX(Sheet1!$G:$J, MATCH(E286, Sheet1!$C:$C, 0), IF(COUNTIF(Sheet1!$G:$G, $I$8)&gt;0, 1, IF(COUNTIF(Sheet1!$H:$H, $I$8)&gt;0, 2, IF(COUNTIF(Sheet1!$I:$I, $I$8)&gt;0, 3, IF(COUNTIF(Sheet1!$J:$J, $I$8)&gt;0, 4, 0)))))), "")</f>
        <v/>
      </c>
    </row>
    <row r="287" spans="9:9" x14ac:dyDescent="0.25">
      <c r="I287" s="3" t="str" cm="1">
        <f t="array" ref="I287">IFERROR(IF(E287="", "", INDEX(Sheet1!$G:$J, MATCH(E287, Sheet1!$C:$C, 0), IF(COUNTIF(Sheet1!$G:$G, $I$8)&gt;0, 1, IF(COUNTIF(Sheet1!$H:$H, $I$8)&gt;0, 2, IF(COUNTIF(Sheet1!$I:$I, $I$8)&gt;0, 3, IF(COUNTIF(Sheet1!$J:$J, $I$8)&gt;0, 4, 0)))))), "")</f>
        <v/>
      </c>
    </row>
    <row r="288" spans="9:9" x14ac:dyDescent="0.25">
      <c r="I288" s="3" t="str" cm="1">
        <f t="array" ref="I288">IFERROR(IF(E288="", "", INDEX(Sheet1!$G:$J, MATCH(E288, Sheet1!$C:$C, 0), IF(COUNTIF(Sheet1!$G:$G, $I$8)&gt;0, 1, IF(COUNTIF(Sheet1!$H:$H, $I$8)&gt;0, 2, IF(COUNTIF(Sheet1!$I:$I, $I$8)&gt;0, 3, IF(COUNTIF(Sheet1!$J:$J, $I$8)&gt;0, 4, 0)))))), "")</f>
        <v/>
      </c>
    </row>
    <row r="289" spans="9:9" x14ac:dyDescent="0.25">
      <c r="I289" s="3" t="str" cm="1">
        <f t="array" ref="I289">IFERROR(IF(E289="", "", INDEX(Sheet1!$G:$J, MATCH(E289, Sheet1!$C:$C, 0), IF(COUNTIF(Sheet1!$G:$G, $I$8)&gt;0, 1, IF(COUNTIF(Sheet1!$H:$H, $I$8)&gt;0, 2, IF(COUNTIF(Sheet1!$I:$I, $I$8)&gt;0, 3, IF(COUNTIF(Sheet1!$J:$J, $I$8)&gt;0, 4, 0)))))), "")</f>
        <v/>
      </c>
    </row>
    <row r="290" spans="9:9" x14ac:dyDescent="0.25">
      <c r="I290" s="3" t="str" cm="1">
        <f t="array" ref="I290">IFERROR(IF(E290="", "", INDEX(Sheet1!$G:$J, MATCH(E290, Sheet1!$C:$C, 0), IF(COUNTIF(Sheet1!$G:$G, $I$8)&gt;0, 1, IF(COUNTIF(Sheet1!$H:$H, $I$8)&gt;0, 2, IF(COUNTIF(Sheet1!$I:$I, $I$8)&gt;0, 3, IF(COUNTIF(Sheet1!$J:$J, $I$8)&gt;0, 4, 0)))))), "")</f>
        <v/>
      </c>
    </row>
    <row r="291" spans="9:9" x14ac:dyDescent="0.25">
      <c r="I291" s="3" t="str" cm="1">
        <f t="array" ref="I291">IFERROR(IF(E291="", "", INDEX(Sheet1!$G:$J, MATCH(E291, Sheet1!$C:$C, 0), IF(COUNTIF(Sheet1!$G:$G, $I$8)&gt;0, 1, IF(COUNTIF(Sheet1!$H:$H, $I$8)&gt;0, 2, IF(COUNTIF(Sheet1!$I:$I, $I$8)&gt;0, 3, IF(COUNTIF(Sheet1!$J:$J, $I$8)&gt;0, 4, 0)))))), "")</f>
        <v/>
      </c>
    </row>
    <row r="292" spans="9:9" x14ac:dyDescent="0.25">
      <c r="I292" s="3" t="str" cm="1">
        <f t="array" ref="I292">IFERROR(IF(E292="", "", INDEX(Sheet1!$G:$J, MATCH(E292, Sheet1!$C:$C, 0), IF(COUNTIF(Sheet1!$G:$G, $I$8)&gt;0, 1, IF(COUNTIF(Sheet1!$H:$H, $I$8)&gt;0, 2, IF(COUNTIF(Sheet1!$I:$I, $I$8)&gt;0, 3, IF(COUNTIF(Sheet1!$J:$J, $I$8)&gt;0, 4, 0)))))), "")</f>
        <v/>
      </c>
    </row>
    <row r="293" spans="9:9" x14ac:dyDescent="0.25">
      <c r="I293" s="3" t="str" cm="1">
        <f t="array" ref="I293">IFERROR(IF(E293="", "", INDEX(Sheet1!$G:$J, MATCH(E293, Sheet1!$C:$C, 0), IF(COUNTIF(Sheet1!$G:$G, $I$8)&gt;0, 1, IF(COUNTIF(Sheet1!$H:$H, $I$8)&gt;0, 2, IF(COUNTIF(Sheet1!$I:$I, $I$8)&gt;0, 3, IF(COUNTIF(Sheet1!$J:$J, $I$8)&gt;0, 4, 0)))))), "")</f>
        <v/>
      </c>
    </row>
    <row r="294" spans="9:9" x14ac:dyDescent="0.25">
      <c r="I294" s="3" t="str" cm="1">
        <f t="array" ref="I294">IFERROR(IF(E294="", "", INDEX(Sheet1!$G:$J, MATCH(E294, Sheet1!$C:$C, 0), IF(COUNTIF(Sheet1!$G:$G, $I$8)&gt;0, 1, IF(COUNTIF(Sheet1!$H:$H, $I$8)&gt;0, 2, IF(COUNTIF(Sheet1!$I:$I, $I$8)&gt;0, 3, IF(COUNTIF(Sheet1!$J:$J, $I$8)&gt;0, 4, 0)))))), "")</f>
        <v/>
      </c>
    </row>
    <row r="295" spans="9:9" x14ac:dyDescent="0.25">
      <c r="I295" s="3" t="str" cm="1">
        <f t="array" ref="I295">IFERROR(IF(E295="", "", INDEX(Sheet1!$G:$J, MATCH(E295, Sheet1!$C:$C, 0), IF(COUNTIF(Sheet1!$G:$G, $I$8)&gt;0, 1, IF(COUNTIF(Sheet1!$H:$H, $I$8)&gt;0, 2, IF(COUNTIF(Sheet1!$I:$I, $I$8)&gt;0, 3, IF(COUNTIF(Sheet1!$J:$J, $I$8)&gt;0, 4, 0)))))), "")</f>
        <v/>
      </c>
    </row>
    <row r="296" spans="9:9" x14ac:dyDescent="0.25">
      <c r="I296" s="3" t="str" cm="1">
        <f t="array" ref="I296">IFERROR(IF(E296="", "", INDEX(Sheet1!$G:$J, MATCH(E296, Sheet1!$C:$C, 0), IF(COUNTIF(Sheet1!$G:$G, $I$8)&gt;0, 1, IF(COUNTIF(Sheet1!$H:$H, $I$8)&gt;0, 2, IF(COUNTIF(Sheet1!$I:$I, $I$8)&gt;0, 3, IF(COUNTIF(Sheet1!$J:$J, $I$8)&gt;0, 4, 0)))))), "")</f>
        <v/>
      </c>
    </row>
    <row r="297" spans="9:9" x14ac:dyDescent="0.25">
      <c r="I297" s="3" t="str" cm="1">
        <f t="array" ref="I297">IFERROR(IF(E297="", "", INDEX(Sheet1!$G:$J, MATCH(E297, Sheet1!$C:$C, 0), IF(COUNTIF(Sheet1!$G:$G, $I$8)&gt;0, 1, IF(COUNTIF(Sheet1!$H:$H, $I$8)&gt;0, 2, IF(COUNTIF(Sheet1!$I:$I, $I$8)&gt;0, 3, IF(COUNTIF(Sheet1!$J:$J, $I$8)&gt;0, 4, 0)))))), "")</f>
        <v/>
      </c>
    </row>
    <row r="298" spans="9:9" x14ac:dyDescent="0.25">
      <c r="I298" s="3" t="str" cm="1">
        <f t="array" ref="I298">IFERROR(IF(E298="", "", INDEX(Sheet1!$G:$J, MATCH(E298, Sheet1!$C:$C, 0), IF(COUNTIF(Sheet1!$G:$G, $I$8)&gt;0, 1, IF(COUNTIF(Sheet1!$H:$H, $I$8)&gt;0, 2, IF(COUNTIF(Sheet1!$I:$I, $I$8)&gt;0, 3, IF(COUNTIF(Sheet1!$J:$J, $I$8)&gt;0, 4, 0)))))), "")</f>
        <v/>
      </c>
    </row>
    <row r="299" spans="9:9" x14ac:dyDescent="0.25">
      <c r="I299" s="3" t="str" cm="1">
        <f t="array" ref="I299">IFERROR(IF(E299="", "", INDEX(Sheet1!$G:$J, MATCH(E299, Sheet1!$C:$C, 0), IF(COUNTIF(Sheet1!$G:$G, $I$8)&gt;0, 1, IF(COUNTIF(Sheet1!$H:$H, $I$8)&gt;0, 2, IF(COUNTIF(Sheet1!$I:$I, $I$8)&gt;0, 3, IF(COUNTIF(Sheet1!$J:$J, $I$8)&gt;0, 4, 0)))))), "")</f>
        <v/>
      </c>
    </row>
    <row r="300" spans="9:9" x14ac:dyDescent="0.25">
      <c r="I300" s="3" t="str" cm="1">
        <f t="array" ref="I300">IFERROR(IF(E300="", "", INDEX(Sheet1!$G:$J, MATCH(E300, Sheet1!$C:$C, 0), IF(COUNTIF(Sheet1!$G:$G, $I$8)&gt;0, 1, IF(COUNTIF(Sheet1!$H:$H, $I$8)&gt;0, 2, IF(COUNTIF(Sheet1!$I:$I, $I$8)&gt;0, 3, IF(COUNTIF(Sheet1!$J:$J, $I$8)&gt;0, 4, 0)))))), "")</f>
        <v/>
      </c>
    </row>
    <row r="301" spans="9:9" x14ac:dyDescent="0.25">
      <c r="I301" s="3" t="str" cm="1">
        <f t="array" ref="I301">IFERROR(IF(E301="", "", INDEX(Sheet1!$G:$J, MATCH(E301, Sheet1!$C:$C, 0), IF(COUNTIF(Sheet1!$G:$G, $I$8)&gt;0, 1, IF(COUNTIF(Sheet1!$H:$H, $I$8)&gt;0, 2, IF(COUNTIF(Sheet1!$I:$I, $I$8)&gt;0, 3, IF(COUNTIF(Sheet1!$J:$J, $I$8)&gt;0, 4, 0)))))), "")</f>
        <v/>
      </c>
    </row>
    <row r="302" spans="9:9" x14ac:dyDescent="0.25">
      <c r="I302" s="3" t="str" cm="1">
        <f t="array" ref="I302">IFERROR(IF(E302="", "", INDEX(Sheet1!$G:$J, MATCH(E302, Sheet1!$C:$C, 0), IF(COUNTIF(Sheet1!$G:$G, $I$8)&gt;0, 1, IF(COUNTIF(Sheet1!$H:$H, $I$8)&gt;0, 2, IF(COUNTIF(Sheet1!$I:$I, $I$8)&gt;0, 3, IF(COUNTIF(Sheet1!$J:$J, $I$8)&gt;0, 4, 0)))))), "")</f>
        <v/>
      </c>
    </row>
    <row r="303" spans="9:9" x14ac:dyDescent="0.25">
      <c r="I303" s="3" t="str" cm="1">
        <f t="array" ref="I303">IFERROR(IF(E303="", "", INDEX(Sheet1!$G:$J, MATCH(E303, Sheet1!$C:$C, 0), IF(COUNTIF(Sheet1!$G:$G, $I$8)&gt;0, 1, IF(COUNTIF(Sheet1!$H:$H, $I$8)&gt;0, 2, IF(COUNTIF(Sheet1!$I:$I, $I$8)&gt;0, 3, IF(COUNTIF(Sheet1!$J:$J, $I$8)&gt;0, 4, 0)))))), "")</f>
        <v/>
      </c>
    </row>
    <row r="304" spans="9:9" x14ac:dyDescent="0.25">
      <c r="I304" s="3" t="str" cm="1">
        <f t="array" ref="I304">IFERROR(IF(E304="", "", INDEX(Sheet1!$G:$J, MATCH(E304, Sheet1!$C:$C, 0), IF(COUNTIF(Sheet1!$G:$G, $I$8)&gt;0, 1, IF(COUNTIF(Sheet1!$H:$H, $I$8)&gt;0, 2, IF(COUNTIF(Sheet1!$I:$I, $I$8)&gt;0, 3, IF(COUNTIF(Sheet1!$J:$J, $I$8)&gt;0, 4, 0)))))), "")</f>
        <v/>
      </c>
    </row>
    <row r="305" spans="9:9" x14ac:dyDescent="0.25">
      <c r="I305" s="3" t="str" cm="1">
        <f t="array" ref="I305">IFERROR(IF(E305="", "", INDEX(Sheet1!$G:$J, MATCH(E305, Sheet1!$C:$C, 0), IF(COUNTIF(Sheet1!$G:$G, $I$8)&gt;0, 1, IF(COUNTIF(Sheet1!$H:$H, $I$8)&gt;0, 2, IF(COUNTIF(Sheet1!$I:$I, $I$8)&gt;0, 3, IF(COUNTIF(Sheet1!$J:$J, $I$8)&gt;0, 4, 0)))))), "")</f>
        <v/>
      </c>
    </row>
    <row r="306" spans="9:9" x14ac:dyDescent="0.25">
      <c r="I306" s="3" t="str" cm="1">
        <f t="array" ref="I306">IFERROR(IF(E306="", "", INDEX(Sheet1!$G:$J, MATCH(E306, Sheet1!$C:$C, 0), IF(COUNTIF(Sheet1!$G:$G, $I$8)&gt;0, 1, IF(COUNTIF(Sheet1!$H:$H, $I$8)&gt;0, 2, IF(COUNTIF(Sheet1!$I:$I, $I$8)&gt;0, 3, IF(COUNTIF(Sheet1!$J:$J, $I$8)&gt;0, 4, 0)))))), "")</f>
        <v/>
      </c>
    </row>
    <row r="307" spans="9:9" x14ac:dyDescent="0.25">
      <c r="I307" s="3" t="str" cm="1">
        <f t="array" ref="I307">IFERROR(IF(E307="", "", INDEX(Sheet1!$G:$J, MATCH(E307, Sheet1!$C:$C, 0), IF(COUNTIF(Sheet1!$G:$G, $I$8)&gt;0, 1, IF(COUNTIF(Sheet1!$H:$H, $I$8)&gt;0, 2, IF(COUNTIF(Sheet1!$I:$I, $I$8)&gt;0, 3, IF(COUNTIF(Sheet1!$J:$J, $I$8)&gt;0, 4, 0)))))), "")</f>
        <v/>
      </c>
    </row>
    <row r="308" spans="9:9" x14ac:dyDescent="0.25">
      <c r="I308" s="3" t="str" cm="1">
        <f t="array" ref="I308">IFERROR(IF(E308="", "", INDEX(Sheet1!$G:$J, MATCH(E308, Sheet1!$C:$C, 0), IF(COUNTIF(Sheet1!$G:$G, $I$8)&gt;0, 1, IF(COUNTIF(Sheet1!$H:$H, $I$8)&gt;0, 2, IF(COUNTIF(Sheet1!$I:$I, $I$8)&gt;0, 3, IF(COUNTIF(Sheet1!$J:$J, $I$8)&gt;0, 4, 0)))))), "")</f>
        <v/>
      </c>
    </row>
    <row r="309" spans="9:9" x14ac:dyDescent="0.25">
      <c r="I309" s="3" t="str" cm="1">
        <f t="array" ref="I309">IFERROR(IF(E309="", "", INDEX(Sheet1!$G:$J, MATCH(E309, Sheet1!$C:$C, 0), IF(COUNTIF(Sheet1!$G:$G, $I$8)&gt;0, 1, IF(COUNTIF(Sheet1!$H:$H, $I$8)&gt;0, 2, IF(COUNTIF(Sheet1!$I:$I, $I$8)&gt;0, 3, IF(COUNTIF(Sheet1!$J:$J, $I$8)&gt;0, 4, 0)))))), "")</f>
        <v/>
      </c>
    </row>
    <row r="310" spans="9:9" x14ac:dyDescent="0.25">
      <c r="I310" s="3" t="str" cm="1">
        <f t="array" ref="I310">IFERROR(IF(E310="", "", INDEX(Sheet1!$G:$J, MATCH(E310, Sheet1!$C:$C, 0), IF(COUNTIF(Sheet1!$G:$G, $I$8)&gt;0, 1, IF(COUNTIF(Sheet1!$H:$H, $I$8)&gt;0, 2, IF(COUNTIF(Sheet1!$I:$I, $I$8)&gt;0, 3, IF(COUNTIF(Sheet1!$J:$J, $I$8)&gt;0, 4, 0)))))), "")</f>
        <v/>
      </c>
    </row>
    <row r="311" spans="9:9" x14ac:dyDescent="0.25">
      <c r="I311" s="3" t="str" cm="1">
        <f t="array" ref="I311">IFERROR(IF(E311="", "", INDEX(Sheet1!$G:$J, MATCH(E311, Sheet1!$C:$C, 0), IF(COUNTIF(Sheet1!$G:$G, $I$8)&gt;0, 1, IF(COUNTIF(Sheet1!$H:$H, $I$8)&gt;0, 2, IF(COUNTIF(Sheet1!$I:$I, $I$8)&gt;0, 3, IF(COUNTIF(Sheet1!$J:$J, $I$8)&gt;0, 4, 0)))))), "")</f>
        <v/>
      </c>
    </row>
    <row r="312" spans="9:9" x14ac:dyDescent="0.25">
      <c r="I312" s="3" t="str" cm="1">
        <f t="array" ref="I312">IFERROR(IF(E312="", "", INDEX(Sheet1!$G:$J, MATCH(E312, Sheet1!$C:$C, 0), IF(COUNTIF(Sheet1!$G:$G, $I$8)&gt;0, 1, IF(COUNTIF(Sheet1!$H:$H, $I$8)&gt;0, 2, IF(COUNTIF(Sheet1!$I:$I, $I$8)&gt;0, 3, IF(COUNTIF(Sheet1!$J:$J, $I$8)&gt;0, 4, 0)))))), "")</f>
        <v/>
      </c>
    </row>
    <row r="313" spans="9:9" x14ac:dyDescent="0.25">
      <c r="I313" s="3" t="str" cm="1">
        <f t="array" ref="I313">IFERROR(IF(E313="", "", INDEX(Sheet1!$G:$J, MATCH(E313, Sheet1!$C:$C, 0), IF(COUNTIF(Sheet1!$G:$G, $I$8)&gt;0, 1, IF(COUNTIF(Sheet1!$H:$H, $I$8)&gt;0, 2, IF(COUNTIF(Sheet1!$I:$I, $I$8)&gt;0, 3, IF(COUNTIF(Sheet1!$J:$J, $I$8)&gt;0, 4, 0)))))), "")</f>
        <v/>
      </c>
    </row>
    <row r="314" spans="9:9" x14ac:dyDescent="0.25">
      <c r="I314" s="3" t="str" cm="1">
        <f t="array" ref="I314">IFERROR(IF(E314="", "", INDEX(Sheet1!$G:$J, MATCH(E314, Sheet1!$C:$C, 0), IF(COUNTIF(Sheet1!$G:$G, $I$8)&gt;0, 1, IF(COUNTIF(Sheet1!$H:$H, $I$8)&gt;0, 2, IF(COUNTIF(Sheet1!$I:$I, $I$8)&gt;0, 3, IF(COUNTIF(Sheet1!$J:$J, $I$8)&gt;0, 4, 0)))))), "")</f>
        <v/>
      </c>
    </row>
    <row r="315" spans="9:9" x14ac:dyDescent="0.25">
      <c r="I315" s="3" t="str" cm="1">
        <f t="array" ref="I315">IFERROR(IF(E315="", "", INDEX(Sheet1!$G:$J, MATCH(E315, Sheet1!$C:$C, 0), IF(COUNTIF(Sheet1!$G:$G, $I$8)&gt;0, 1, IF(COUNTIF(Sheet1!$H:$H, $I$8)&gt;0, 2, IF(COUNTIF(Sheet1!$I:$I, $I$8)&gt;0, 3, IF(COUNTIF(Sheet1!$J:$J, $I$8)&gt;0, 4, 0)))))), "")</f>
        <v/>
      </c>
    </row>
    <row r="316" spans="9:9" x14ac:dyDescent="0.25">
      <c r="I316" s="3" t="str" cm="1">
        <f t="array" ref="I316">IFERROR(IF(E316="", "", INDEX(Sheet1!$G:$J, MATCH(E316, Sheet1!$C:$C, 0), IF(COUNTIF(Sheet1!$G:$G, $I$8)&gt;0, 1, IF(COUNTIF(Sheet1!$H:$H, $I$8)&gt;0, 2, IF(COUNTIF(Sheet1!$I:$I, $I$8)&gt;0, 3, IF(COUNTIF(Sheet1!$J:$J, $I$8)&gt;0, 4, 0)))))), "")</f>
        <v/>
      </c>
    </row>
    <row r="317" spans="9:9" x14ac:dyDescent="0.25">
      <c r="I317" s="3" t="str" cm="1">
        <f t="array" ref="I317">IFERROR(IF(E317="", "", INDEX(Sheet1!$G:$J, MATCH(E317, Sheet1!$C:$C, 0), IF(COUNTIF(Sheet1!$G:$G, $I$8)&gt;0, 1, IF(COUNTIF(Sheet1!$H:$H, $I$8)&gt;0, 2, IF(COUNTIF(Sheet1!$I:$I, $I$8)&gt;0, 3, IF(COUNTIF(Sheet1!$J:$J, $I$8)&gt;0, 4, 0)))))), "")</f>
        <v/>
      </c>
    </row>
    <row r="318" spans="9:9" x14ac:dyDescent="0.25">
      <c r="I318" s="3" t="str" cm="1">
        <f t="array" ref="I318">IFERROR(IF(E318="", "", INDEX(Sheet1!$G:$J, MATCH(E318, Sheet1!$C:$C, 0), IF(COUNTIF(Sheet1!$G:$G, $I$8)&gt;0, 1, IF(COUNTIF(Sheet1!$H:$H, $I$8)&gt;0, 2, IF(COUNTIF(Sheet1!$I:$I, $I$8)&gt;0, 3, IF(COUNTIF(Sheet1!$J:$J, $I$8)&gt;0, 4, 0)))))), "")</f>
        <v/>
      </c>
    </row>
    <row r="319" spans="9:9" x14ac:dyDescent="0.25">
      <c r="I319" s="3" t="str" cm="1">
        <f t="array" ref="I319">IFERROR(IF(E319="", "", INDEX(Sheet1!$G:$J, MATCH(E319, Sheet1!$C:$C, 0), IF(COUNTIF(Sheet1!$G:$G, $I$8)&gt;0, 1, IF(COUNTIF(Sheet1!$H:$H, $I$8)&gt;0, 2, IF(COUNTIF(Sheet1!$I:$I, $I$8)&gt;0, 3, IF(COUNTIF(Sheet1!$J:$J, $I$8)&gt;0, 4, 0)))))), "")</f>
        <v/>
      </c>
    </row>
    <row r="320" spans="9:9" x14ac:dyDescent="0.25">
      <c r="I320" s="3" t="str" cm="1">
        <f t="array" ref="I320">IFERROR(IF(E320="", "", INDEX(Sheet1!$G:$J, MATCH(E320, Sheet1!$C:$C, 0), IF(COUNTIF(Sheet1!$G:$G, $I$8)&gt;0, 1, IF(COUNTIF(Sheet1!$H:$H, $I$8)&gt;0, 2, IF(COUNTIF(Sheet1!$I:$I, $I$8)&gt;0, 3, IF(COUNTIF(Sheet1!$J:$J, $I$8)&gt;0, 4, 0)))))), "")</f>
        <v/>
      </c>
    </row>
    <row r="321" spans="9:9" x14ac:dyDescent="0.25">
      <c r="I321" s="3" t="str" cm="1">
        <f t="array" ref="I321">IFERROR(IF(E321="", "", INDEX(Sheet1!$G:$J, MATCH(E321, Sheet1!$C:$C, 0), IF(COUNTIF(Sheet1!$G:$G, $I$8)&gt;0, 1, IF(COUNTIF(Sheet1!$H:$H, $I$8)&gt;0, 2, IF(COUNTIF(Sheet1!$I:$I, $I$8)&gt;0, 3, IF(COUNTIF(Sheet1!$J:$J, $I$8)&gt;0, 4, 0)))))), "")</f>
        <v/>
      </c>
    </row>
    <row r="322" spans="9:9" x14ac:dyDescent="0.25">
      <c r="I322" s="3" t="str" cm="1">
        <f t="array" ref="I322">IFERROR(IF(E322="", "", INDEX(Sheet1!$G:$J, MATCH(E322, Sheet1!$C:$C, 0), IF(COUNTIF(Sheet1!$G:$G, $I$8)&gt;0, 1, IF(COUNTIF(Sheet1!$H:$H, $I$8)&gt;0, 2, IF(COUNTIF(Sheet1!$I:$I, $I$8)&gt;0, 3, IF(COUNTIF(Sheet1!$J:$J, $I$8)&gt;0, 4, 0)))))), "")</f>
        <v/>
      </c>
    </row>
    <row r="323" spans="9:9" x14ac:dyDescent="0.25">
      <c r="I323" s="3" t="str" cm="1">
        <f t="array" ref="I323">IFERROR(IF(E323="", "", INDEX(Sheet1!$G:$J, MATCH(E323, Sheet1!$C:$C, 0), IF(COUNTIF(Sheet1!$G:$G, $I$8)&gt;0, 1, IF(COUNTIF(Sheet1!$H:$H, $I$8)&gt;0, 2, IF(COUNTIF(Sheet1!$I:$I, $I$8)&gt;0, 3, IF(COUNTIF(Sheet1!$J:$J, $I$8)&gt;0, 4, 0)))))), "")</f>
        <v/>
      </c>
    </row>
    <row r="324" spans="9:9" x14ac:dyDescent="0.25">
      <c r="I324" s="3" t="str" cm="1">
        <f t="array" ref="I324">IFERROR(IF(E324="", "", INDEX(Sheet1!$G:$J, MATCH(E324, Sheet1!$C:$C, 0), IF(COUNTIF(Sheet1!$G:$G, $I$8)&gt;0, 1, IF(COUNTIF(Sheet1!$H:$H, $I$8)&gt;0, 2, IF(COUNTIF(Sheet1!$I:$I, $I$8)&gt;0, 3, IF(COUNTIF(Sheet1!$J:$J, $I$8)&gt;0, 4, 0)))))), "")</f>
        <v/>
      </c>
    </row>
    <row r="325" spans="9:9" x14ac:dyDescent="0.25">
      <c r="I325" s="3" t="str" cm="1">
        <f t="array" ref="I325">IFERROR(IF(E325="", "", INDEX(Sheet1!$G:$J, MATCH(E325, Sheet1!$C:$C, 0), IF(COUNTIF(Sheet1!$G:$G, $I$8)&gt;0, 1, IF(COUNTIF(Sheet1!$H:$H, $I$8)&gt;0, 2, IF(COUNTIF(Sheet1!$I:$I, $I$8)&gt;0, 3, IF(COUNTIF(Sheet1!$J:$J, $I$8)&gt;0, 4, 0)))))), "")</f>
        <v/>
      </c>
    </row>
    <row r="326" spans="9:9" x14ac:dyDescent="0.25">
      <c r="I326" s="3" t="str" cm="1">
        <f t="array" ref="I326">IFERROR(IF(E326="", "", INDEX(Sheet1!$G:$J, MATCH(E326, Sheet1!$C:$C, 0), IF(COUNTIF(Sheet1!$G:$G, $I$8)&gt;0, 1, IF(COUNTIF(Sheet1!$H:$H, $I$8)&gt;0, 2, IF(COUNTIF(Sheet1!$I:$I, $I$8)&gt;0, 3, IF(COUNTIF(Sheet1!$J:$J, $I$8)&gt;0, 4, 0)))))), "")</f>
        <v/>
      </c>
    </row>
    <row r="327" spans="9:9" x14ac:dyDescent="0.25">
      <c r="I327" s="3" t="str" cm="1">
        <f t="array" ref="I327">IFERROR(IF(E327="", "", INDEX(Sheet1!$G:$J, MATCH(E327, Sheet1!$C:$C, 0), IF(COUNTIF(Sheet1!$G:$G, $I$8)&gt;0, 1, IF(COUNTIF(Sheet1!$H:$H, $I$8)&gt;0, 2, IF(COUNTIF(Sheet1!$I:$I, $I$8)&gt;0, 3, IF(COUNTIF(Sheet1!$J:$J, $I$8)&gt;0, 4, 0)))))), "")</f>
        <v/>
      </c>
    </row>
    <row r="328" spans="9:9" x14ac:dyDescent="0.25">
      <c r="I328" s="3" t="str" cm="1">
        <f t="array" ref="I328">IFERROR(IF(E328="", "", INDEX(Sheet1!$G:$J, MATCH(E328, Sheet1!$C:$C, 0), IF(COUNTIF(Sheet1!$G:$G, $I$8)&gt;0, 1, IF(COUNTIF(Sheet1!$H:$H, $I$8)&gt;0, 2, IF(COUNTIF(Sheet1!$I:$I, $I$8)&gt;0, 3, IF(COUNTIF(Sheet1!$J:$J, $I$8)&gt;0, 4, 0)))))), "")</f>
        <v/>
      </c>
    </row>
    <row r="329" spans="9:9" x14ac:dyDescent="0.25">
      <c r="I329" s="3" t="str" cm="1">
        <f t="array" ref="I329">IFERROR(IF(E329="", "", INDEX(Sheet1!$G:$J, MATCH(E329, Sheet1!$C:$C, 0), IF(COUNTIF(Sheet1!$G:$G, $I$8)&gt;0, 1, IF(COUNTIF(Sheet1!$H:$H, $I$8)&gt;0, 2, IF(COUNTIF(Sheet1!$I:$I, $I$8)&gt;0, 3, IF(COUNTIF(Sheet1!$J:$J, $I$8)&gt;0, 4, 0)))))), "")</f>
        <v/>
      </c>
    </row>
    <row r="330" spans="9:9" x14ac:dyDescent="0.25">
      <c r="I330" s="3" t="str" cm="1">
        <f t="array" ref="I330">IFERROR(IF(E330="", "", INDEX(Sheet1!$G:$J, MATCH(E330, Sheet1!$C:$C, 0), IF(COUNTIF(Sheet1!$G:$G, $I$8)&gt;0, 1, IF(COUNTIF(Sheet1!$H:$H, $I$8)&gt;0, 2, IF(COUNTIF(Sheet1!$I:$I, $I$8)&gt;0, 3, IF(COUNTIF(Sheet1!$J:$J, $I$8)&gt;0, 4, 0)))))), "")</f>
        <v/>
      </c>
    </row>
    <row r="331" spans="9:9" x14ac:dyDescent="0.25">
      <c r="I331" s="3" t="str" cm="1">
        <f t="array" ref="I331">IFERROR(IF(E331="", "", INDEX(Sheet1!$G:$J, MATCH(E331, Sheet1!$C:$C, 0), IF(COUNTIF(Sheet1!$G:$G, $I$8)&gt;0, 1, IF(COUNTIF(Sheet1!$H:$H, $I$8)&gt;0, 2, IF(COUNTIF(Sheet1!$I:$I, $I$8)&gt;0, 3, IF(COUNTIF(Sheet1!$J:$J, $I$8)&gt;0, 4, 0)))))), "")</f>
        <v/>
      </c>
    </row>
    <row r="332" spans="9:9" x14ac:dyDescent="0.25">
      <c r="I332" s="3" t="str" cm="1">
        <f t="array" ref="I332">IFERROR(IF(E332="", "", INDEX(Sheet1!$G:$J, MATCH(E332, Sheet1!$C:$C, 0), IF(COUNTIF(Sheet1!$G:$G, $I$8)&gt;0, 1, IF(COUNTIF(Sheet1!$H:$H, $I$8)&gt;0, 2, IF(COUNTIF(Sheet1!$I:$I, $I$8)&gt;0, 3, IF(COUNTIF(Sheet1!$J:$J, $I$8)&gt;0, 4, 0)))))), "")</f>
        <v/>
      </c>
    </row>
    <row r="333" spans="9:9" x14ac:dyDescent="0.25">
      <c r="I333" s="3" t="str" cm="1">
        <f t="array" ref="I333">IFERROR(IF(E333="", "", INDEX(Sheet1!$G:$J, MATCH(E333, Sheet1!$C:$C, 0), IF(COUNTIF(Sheet1!$G:$G, $I$8)&gt;0, 1, IF(COUNTIF(Sheet1!$H:$H, $I$8)&gt;0, 2, IF(COUNTIF(Sheet1!$I:$I, $I$8)&gt;0, 3, IF(COUNTIF(Sheet1!$J:$J, $I$8)&gt;0, 4, 0)))))), "")</f>
        <v/>
      </c>
    </row>
    <row r="334" spans="9:9" x14ac:dyDescent="0.25">
      <c r="I334" s="3" t="str" cm="1">
        <f t="array" ref="I334">IFERROR(IF(E334="", "", INDEX(Sheet1!$G:$J, MATCH(E334, Sheet1!$C:$C, 0), IF(COUNTIF(Sheet1!$G:$G, $I$8)&gt;0, 1, IF(COUNTIF(Sheet1!$H:$H, $I$8)&gt;0, 2, IF(COUNTIF(Sheet1!$I:$I, $I$8)&gt;0, 3, IF(COUNTIF(Sheet1!$J:$J, $I$8)&gt;0, 4, 0)))))), "")</f>
        <v/>
      </c>
    </row>
    <row r="335" spans="9:9" x14ac:dyDescent="0.25">
      <c r="I335" s="3" t="str" cm="1">
        <f t="array" ref="I335">IFERROR(IF(E335="", "", INDEX(Sheet1!$G:$J, MATCH(E335, Sheet1!$C:$C, 0), IF(COUNTIF(Sheet1!$G:$G, $I$8)&gt;0, 1, IF(COUNTIF(Sheet1!$H:$H, $I$8)&gt;0, 2, IF(COUNTIF(Sheet1!$I:$I, $I$8)&gt;0, 3, IF(COUNTIF(Sheet1!$J:$J, $I$8)&gt;0, 4, 0)))))), "")</f>
        <v/>
      </c>
    </row>
    <row r="336" spans="9:9" x14ac:dyDescent="0.25">
      <c r="I336" s="3" t="str" cm="1">
        <f t="array" ref="I336">IFERROR(IF(E336="", "", INDEX(Sheet1!$G:$J, MATCH(E336, Sheet1!$C:$C, 0), IF(COUNTIF(Sheet1!$G:$G, $I$8)&gt;0, 1, IF(COUNTIF(Sheet1!$H:$H, $I$8)&gt;0, 2, IF(COUNTIF(Sheet1!$I:$I, $I$8)&gt;0, 3, IF(COUNTIF(Sheet1!$J:$J, $I$8)&gt;0, 4, 0)))))), "")</f>
        <v/>
      </c>
    </row>
    <row r="337" spans="9:9" x14ac:dyDescent="0.25">
      <c r="I337" s="3" t="str" cm="1">
        <f t="array" ref="I337">IFERROR(IF(E337="", "", INDEX(Sheet1!$G:$J, MATCH(E337, Sheet1!$C:$C, 0), IF(COUNTIF(Sheet1!$G:$G, $I$8)&gt;0, 1, IF(COUNTIF(Sheet1!$H:$H, $I$8)&gt;0, 2, IF(COUNTIF(Sheet1!$I:$I, $I$8)&gt;0, 3, IF(COUNTIF(Sheet1!$J:$J, $I$8)&gt;0, 4, 0)))))), "")</f>
        <v/>
      </c>
    </row>
    <row r="338" spans="9:9" x14ac:dyDescent="0.25">
      <c r="I338" s="3" t="str" cm="1">
        <f t="array" ref="I338">IFERROR(IF(E338="", "", INDEX(Sheet1!$G:$J, MATCH(E338, Sheet1!$C:$C, 0), IF(COUNTIF(Sheet1!$G:$G, $I$8)&gt;0, 1, IF(COUNTIF(Sheet1!$H:$H, $I$8)&gt;0, 2, IF(COUNTIF(Sheet1!$I:$I, $I$8)&gt;0, 3, IF(COUNTIF(Sheet1!$J:$J, $I$8)&gt;0, 4, 0)))))), "")</f>
        <v/>
      </c>
    </row>
    <row r="339" spans="9:9" x14ac:dyDescent="0.25">
      <c r="I339" s="3" t="str" cm="1">
        <f t="array" ref="I339">IFERROR(IF(E339="", "", INDEX(Sheet1!$G:$J, MATCH(E339, Sheet1!$C:$C, 0), IF(COUNTIF(Sheet1!$G:$G, $I$8)&gt;0, 1, IF(COUNTIF(Sheet1!$H:$H, $I$8)&gt;0, 2, IF(COUNTIF(Sheet1!$I:$I, $I$8)&gt;0, 3, IF(COUNTIF(Sheet1!$J:$J, $I$8)&gt;0, 4, 0)))))), "")</f>
        <v/>
      </c>
    </row>
    <row r="340" spans="9:9" x14ac:dyDescent="0.25">
      <c r="I340" s="3" t="str" cm="1">
        <f t="array" ref="I340">IFERROR(IF(E340="", "", INDEX(Sheet1!$G:$J, MATCH(E340, Sheet1!$C:$C, 0), IF(COUNTIF(Sheet1!$G:$G, $I$8)&gt;0, 1, IF(COUNTIF(Sheet1!$H:$H, $I$8)&gt;0, 2, IF(COUNTIF(Sheet1!$I:$I, $I$8)&gt;0, 3, IF(COUNTIF(Sheet1!$J:$J, $I$8)&gt;0, 4, 0)))))), "")</f>
        <v/>
      </c>
    </row>
    <row r="341" spans="9:9" x14ac:dyDescent="0.25">
      <c r="I341" s="3" t="str" cm="1">
        <f t="array" ref="I341">IFERROR(IF(E341="", "", INDEX(Sheet1!$G:$J, MATCH(E341, Sheet1!$C:$C, 0), IF(COUNTIF(Sheet1!$G:$G, $I$8)&gt;0, 1, IF(COUNTIF(Sheet1!$H:$H, $I$8)&gt;0, 2, IF(COUNTIF(Sheet1!$I:$I, $I$8)&gt;0, 3, IF(COUNTIF(Sheet1!$J:$J, $I$8)&gt;0, 4, 0)))))), "")</f>
        <v/>
      </c>
    </row>
    <row r="342" spans="9:9" x14ac:dyDescent="0.25">
      <c r="I342" s="3" t="str" cm="1">
        <f t="array" ref="I342">IFERROR(IF(E342="", "", INDEX(Sheet1!$G:$J, MATCH(E342, Sheet1!$C:$C, 0), IF(COUNTIF(Sheet1!$G:$G, $I$8)&gt;0, 1, IF(COUNTIF(Sheet1!$H:$H, $I$8)&gt;0, 2, IF(COUNTIF(Sheet1!$I:$I, $I$8)&gt;0, 3, IF(COUNTIF(Sheet1!$J:$J, $I$8)&gt;0, 4, 0)))))), "")</f>
        <v/>
      </c>
    </row>
    <row r="343" spans="9:9" x14ac:dyDescent="0.25">
      <c r="I343" s="3" t="str" cm="1">
        <f t="array" ref="I343">IFERROR(IF(E343="", "", INDEX(Sheet1!$G:$J, MATCH(E343, Sheet1!$C:$C, 0), IF(COUNTIF(Sheet1!$G:$G, $I$8)&gt;0, 1, IF(COUNTIF(Sheet1!$H:$H, $I$8)&gt;0, 2, IF(COUNTIF(Sheet1!$I:$I, $I$8)&gt;0, 3, IF(COUNTIF(Sheet1!$J:$J, $I$8)&gt;0, 4, 0)))))), "")</f>
        <v/>
      </c>
    </row>
    <row r="344" spans="9:9" x14ac:dyDescent="0.25">
      <c r="I344" s="3" t="str" cm="1">
        <f t="array" ref="I344">IFERROR(IF(E344="", "", INDEX(Sheet1!$G:$J, MATCH(E344, Sheet1!$C:$C, 0), IF(COUNTIF(Sheet1!$G:$G, $I$8)&gt;0, 1, IF(COUNTIF(Sheet1!$H:$H, $I$8)&gt;0, 2, IF(COUNTIF(Sheet1!$I:$I, $I$8)&gt;0, 3, IF(COUNTIF(Sheet1!$J:$J, $I$8)&gt;0, 4, 0)))))), "")</f>
        <v/>
      </c>
    </row>
    <row r="345" spans="9:9" x14ac:dyDescent="0.25">
      <c r="I345" s="3" t="str" cm="1">
        <f t="array" ref="I345">IFERROR(IF(E345="", "", INDEX(Sheet1!$G:$J, MATCH(E345, Sheet1!$C:$C, 0), IF(COUNTIF(Sheet1!$G:$G, $I$8)&gt;0, 1, IF(COUNTIF(Sheet1!$H:$H, $I$8)&gt;0, 2, IF(COUNTIF(Sheet1!$I:$I, $I$8)&gt;0, 3, IF(COUNTIF(Sheet1!$J:$J, $I$8)&gt;0, 4, 0)))))), "")</f>
        <v/>
      </c>
    </row>
    <row r="346" spans="9:9" x14ac:dyDescent="0.25">
      <c r="I346" s="3" t="str" cm="1">
        <f t="array" ref="I346">IFERROR(IF(E346="", "", INDEX(Sheet1!$G:$J, MATCH(E346, Sheet1!$C:$C, 0), IF(COUNTIF(Sheet1!$G:$G, $I$8)&gt;0, 1, IF(COUNTIF(Sheet1!$H:$H, $I$8)&gt;0, 2, IF(COUNTIF(Sheet1!$I:$I, $I$8)&gt;0, 3, IF(COUNTIF(Sheet1!$J:$J, $I$8)&gt;0, 4, 0)))))), "")</f>
        <v/>
      </c>
    </row>
    <row r="347" spans="9:9" x14ac:dyDescent="0.25">
      <c r="I347" s="3" t="str" cm="1">
        <f t="array" ref="I347">IFERROR(IF(E347="", "", INDEX(Sheet1!$G:$J, MATCH(E347, Sheet1!$C:$C, 0), IF(COUNTIF(Sheet1!$G:$G, $I$8)&gt;0, 1, IF(COUNTIF(Sheet1!$H:$H, $I$8)&gt;0, 2, IF(COUNTIF(Sheet1!$I:$I, $I$8)&gt;0, 3, IF(COUNTIF(Sheet1!$J:$J, $I$8)&gt;0, 4, 0)))))), "")</f>
        <v/>
      </c>
    </row>
    <row r="348" spans="9:9" x14ac:dyDescent="0.25">
      <c r="I348" s="3" t="str" cm="1">
        <f t="array" ref="I348">IFERROR(IF(E348="", "", INDEX(Sheet1!$G:$J, MATCH(E348, Sheet1!$C:$C, 0), IF(COUNTIF(Sheet1!$G:$G, $I$8)&gt;0, 1, IF(COUNTIF(Sheet1!$H:$H, $I$8)&gt;0, 2, IF(COUNTIF(Sheet1!$I:$I, $I$8)&gt;0, 3, IF(COUNTIF(Sheet1!$J:$J, $I$8)&gt;0, 4, 0)))))), "")</f>
        <v/>
      </c>
    </row>
    <row r="349" spans="9:9" x14ac:dyDescent="0.25">
      <c r="I349" s="3" t="str" cm="1">
        <f t="array" ref="I349">IFERROR(IF(E349="", "", INDEX(Sheet1!$G:$J, MATCH(E349, Sheet1!$C:$C, 0), IF(COUNTIF(Sheet1!$G:$G, $I$8)&gt;0, 1, IF(COUNTIF(Sheet1!$H:$H, $I$8)&gt;0, 2, IF(COUNTIF(Sheet1!$I:$I, $I$8)&gt;0, 3, IF(COUNTIF(Sheet1!$J:$J, $I$8)&gt;0, 4, 0)))))), "")</f>
        <v/>
      </c>
    </row>
    <row r="350" spans="9:9" x14ac:dyDescent="0.25">
      <c r="I350" s="3" t="str" cm="1">
        <f t="array" ref="I350">IFERROR(IF(E350="", "", INDEX(Sheet1!$G:$J, MATCH(E350, Sheet1!$C:$C, 0), IF(COUNTIF(Sheet1!$G:$G, $I$8)&gt;0, 1, IF(COUNTIF(Sheet1!$H:$H, $I$8)&gt;0, 2, IF(COUNTIF(Sheet1!$I:$I, $I$8)&gt;0, 3, IF(COUNTIF(Sheet1!$J:$J, $I$8)&gt;0, 4, 0)))))), "")</f>
        <v/>
      </c>
    </row>
    <row r="351" spans="9:9" x14ac:dyDescent="0.25">
      <c r="I351" s="3" t="str" cm="1">
        <f t="array" ref="I351">IFERROR(IF(E351="", "", INDEX(Sheet1!$G:$J, MATCH(E351, Sheet1!$C:$C, 0), IF(COUNTIF(Sheet1!$G:$G, $I$8)&gt;0, 1, IF(COUNTIF(Sheet1!$H:$H, $I$8)&gt;0, 2, IF(COUNTIF(Sheet1!$I:$I, $I$8)&gt;0, 3, IF(COUNTIF(Sheet1!$J:$J, $I$8)&gt;0, 4, 0)))))), "")</f>
        <v/>
      </c>
    </row>
    <row r="352" spans="9:9" x14ac:dyDescent="0.25">
      <c r="I352" s="3" t="str" cm="1">
        <f t="array" ref="I352">IFERROR(IF(E352="", "", INDEX(Sheet1!$G:$J, MATCH(E352, Sheet1!$C:$C, 0), IF(COUNTIF(Sheet1!$G:$G, $I$8)&gt;0, 1, IF(COUNTIF(Sheet1!$H:$H, $I$8)&gt;0, 2, IF(COUNTIF(Sheet1!$I:$I, $I$8)&gt;0, 3, IF(COUNTIF(Sheet1!$J:$J, $I$8)&gt;0, 4, 0)))))), "")</f>
        <v/>
      </c>
    </row>
    <row r="353" spans="9:9" x14ac:dyDescent="0.25">
      <c r="I353" s="3" t="str" cm="1">
        <f t="array" ref="I353">IFERROR(IF(E353="", "", INDEX(Sheet1!$G:$J, MATCH(E353, Sheet1!$C:$C, 0), IF(COUNTIF(Sheet1!$G:$G, $I$8)&gt;0, 1, IF(COUNTIF(Sheet1!$H:$H, $I$8)&gt;0, 2, IF(COUNTIF(Sheet1!$I:$I, $I$8)&gt;0, 3, IF(COUNTIF(Sheet1!$J:$J, $I$8)&gt;0, 4, 0)))))), "")</f>
        <v/>
      </c>
    </row>
    <row r="354" spans="9:9" x14ac:dyDescent="0.25">
      <c r="I354" s="3" t="str" cm="1">
        <f t="array" ref="I354">IFERROR(IF(E354="", "", INDEX(Sheet1!$G:$J, MATCH(E354, Sheet1!$C:$C, 0), IF(COUNTIF(Sheet1!$G:$G, $I$8)&gt;0, 1, IF(COUNTIF(Sheet1!$H:$H, $I$8)&gt;0, 2, IF(COUNTIF(Sheet1!$I:$I, $I$8)&gt;0, 3, IF(COUNTIF(Sheet1!$J:$J, $I$8)&gt;0, 4, 0)))))), "")</f>
        <v/>
      </c>
    </row>
    <row r="355" spans="9:9" x14ac:dyDescent="0.25">
      <c r="I355" s="3" t="str" cm="1">
        <f t="array" ref="I355">IFERROR(IF(E355="", "", INDEX(Sheet1!$G:$J, MATCH(E355, Sheet1!$C:$C, 0), IF(COUNTIF(Sheet1!$G:$G, $I$8)&gt;0, 1, IF(COUNTIF(Sheet1!$H:$H, $I$8)&gt;0, 2, IF(COUNTIF(Sheet1!$I:$I, $I$8)&gt;0, 3, IF(COUNTIF(Sheet1!$J:$J, $I$8)&gt;0, 4, 0)))))), "")</f>
        <v/>
      </c>
    </row>
    <row r="356" spans="9:9" x14ac:dyDescent="0.25">
      <c r="I356" s="3" t="str" cm="1">
        <f t="array" ref="I356">IFERROR(IF(E356="", "", INDEX(Sheet1!$G:$J, MATCH(E356, Sheet1!$C:$C, 0), IF(COUNTIF(Sheet1!$G:$G, $I$8)&gt;0, 1, IF(COUNTIF(Sheet1!$H:$H, $I$8)&gt;0, 2, IF(COUNTIF(Sheet1!$I:$I, $I$8)&gt;0, 3, IF(COUNTIF(Sheet1!$J:$J, $I$8)&gt;0, 4, 0)))))), "")</f>
        <v/>
      </c>
    </row>
    <row r="357" spans="9:9" x14ac:dyDescent="0.25">
      <c r="I357" s="3" t="str" cm="1">
        <f t="array" ref="I357">IFERROR(IF(E357="", "", INDEX(Sheet1!$G:$J, MATCH(E357, Sheet1!$C:$C, 0), IF(COUNTIF(Sheet1!$G:$G, $I$8)&gt;0, 1, IF(COUNTIF(Sheet1!$H:$H, $I$8)&gt;0, 2, IF(COUNTIF(Sheet1!$I:$I, $I$8)&gt;0, 3, IF(COUNTIF(Sheet1!$J:$J, $I$8)&gt;0, 4, 0)))))), "")</f>
        <v/>
      </c>
    </row>
    <row r="358" spans="9:9" x14ac:dyDescent="0.25">
      <c r="I358" s="3" t="str" cm="1">
        <f t="array" ref="I358">IFERROR(IF(E358="", "", INDEX(Sheet1!$G:$J, MATCH(E358, Sheet1!$C:$C, 0), IF(COUNTIF(Sheet1!$G:$G, $I$8)&gt;0, 1, IF(COUNTIF(Sheet1!$H:$H, $I$8)&gt;0, 2, IF(COUNTIF(Sheet1!$I:$I, $I$8)&gt;0, 3, IF(COUNTIF(Sheet1!$J:$J, $I$8)&gt;0, 4, 0)))))), "")</f>
        <v/>
      </c>
    </row>
    <row r="359" spans="9:9" x14ac:dyDescent="0.25">
      <c r="I359" s="3" t="str" cm="1">
        <f t="array" ref="I359">IFERROR(IF(E359="", "", INDEX(Sheet1!$G:$J, MATCH(E359, Sheet1!$C:$C, 0), IF(COUNTIF(Sheet1!$G:$G, $I$8)&gt;0, 1, IF(COUNTIF(Sheet1!$H:$H, $I$8)&gt;0, 2, IF(COUNTIF(Sheet1!$I:$I, $I$8)&gt;0, 3, IF(COUNTIF(Sheet1!$J:$J, $I$8)&gt;0, 4, 0)))))), "")</f>
        <v/>
      </c>
    </row>
    <row r="360" spans="9:9" x14ac:dyDescent="0.25">
      <c r="I360" s="3" t="str" cm="1">
        <f t="array" ref="I360">IFERROR(IF(E360="", "", INDEX(Sheet1!$G:$J, MATCH(E360, Sheet1!$C:$C, 0), IF(COUNTIF(Sheet1!$G:$G, $I$8)&gt;0, 1, IF(COUNTIF(Sheet1!$H:$H, $I$8)&gt;0, 2, IF(COUNTIF(Sheet1!$I:$I, $I$8)&gt;0, 3, IF(COUNTIF(Sheet1!$J:$J, $I$8)&gt;0, 4, 0)))))), "")</f>
        <v/>
      </c>
    </row>
    <row r="361" spans="9:9" x14ac:dyDescent="0.25">
      <c r="I361" s="3" t="str" cm="1">
        <f t="array" ref="I361">IFERROR(IF(E361="", "", INDEX(Sheet1!$G:$J, MATCH(E361, Sheet1!$C:$C, 0), IF(COUNTIF(Sheet1!$G:$G, $I$8)&gt;0, 1, IF(COUNTIF(Sheet1!$H:$H, $I$8)&gt;0, 2, IF(COUNTIF(Sheet1!$I:$I, $I$8)&gt;0, 3, IF(COUNTIF(Sheet1!$J:$J, $I$8)&gt;0, 4, 0)))))), "")</f>
        <v/>
      </c>
    </row>
    <row r="362" spans="9:9" x14ac:dyDescent="0.25">
      <c r="I362" s="3" t="str" cm="1">
        <f t="array" ref="I362">IFERROR(IF(E362="", "", INDEX(Sheet1!$G:$J, MATCH(E362, Sheet1!$C:$C, 0), IF(COUNTIF(Sheet1!$G:$G, $I$8)&gt;0, 1, IF(COUNTIF(Sheet1!$H:$H, $I$8)&gt;0, 2, IF(COUNTIF(Sheet1!$I:$I, $I$8)&gt;0, 3, IF(COUNTIF(Sheet1!$J:$J, $I$8)&gt;0, 4, 0)))))), "")</f>
        <v/>
      </c>
    </row>
    <row r="363" spans="9:9" x14ac:dyDescent="0.25">
      <c r="I363" s="3" t="str" cm="1">
        <f t="array" ref="I363">IFERROR(IF(E363="", "", INDEX(Sheet1!$G:$J, MATCH(E363, Sheet1!$C:$C, 0), IF(COUNTIF(Sheet1!$G:$G, $I$8)&gt;0, 1, IF(COUNTIF(Sheet1!$H:$H, $I$8)&gt;0, 2, IF(COUNTIF(Sheet1!$I:$I, $I$8)&gt;0, 3, IF(COUNTIF(Sheet1!$J:$J, $I$8)&gt;0, 4, 0)))))), "")</f>
        <v/>
      </c>
    </row>
    <row r="364" spans="9:9" x14ac:dyDescent="0.25">
      <c r="I364" s="3" t="str" cm="1">
        <f t="array" ref="I364">IFERROR(IF(E364="", "", INDEX(Sheet1!$G:$J, MATCH(E364, Sheet1!$C:$C, 0), IF(COUNTIF(Sheet1!$G:$G, $I$8)&gt;0, 1, IF(COUNTIF(Sheet1!$H:$H, $I$8)&gt;0, 2, IF(COUNTIF(Sheet1!$I:$I, $I$8)&gt;0, 3, IF(COUNTIF(Sheet1!$J:$J, $I$8)&gt;0, 4, 0)))))), "")</f>
        <v/>
      </c>
    </row>
    <row r="365" spans="9:9" x14ac:dyDescent="0.25">
      <c r="I365" s="3" t="str" cm="1">
        <f t="array" ref="I365">IFERROR(IF(E365="", "", INDEX(Sheet1!$G:$J, MATCH(E365, Sheet1!$C:$C, 0), IF(COUNTIF(Sheet1!$G:$G, $I$8)&gt;0, 1, IF(COUNTIF(Sheet1!$H:$H, $I$8)&gt;0, 2, IF(COUNTIF(Sheet1!$I:$I, $I$8)&gt;0, 3, IF(COUNTIF(Sheet1!$J:$J, $I$8)&gt;0, 4, 0)))))), "")</f>
        <v/>
      </c>
    </row>
    <row r="366" spans="9:9" x14ac:dyDescent="0.25">
      <c r="I366" s="3" t="str" cm="1">
        <f t="array" ref="I366">IFERROR(IF(E366="", "", INDEX(Sheet1!$G:$J, MATCH(E366, Sheet1!$C:$C, 0), IF(COUNTIF(Sheet1!$G:$G, $I$8)&gt;0, 1, IF(COUNTIF(Sheet1!$H:$H, $I$8)&gt;0, 2, IF(COUNTIF(Sheet1!$I:$I, $I$8)&gt;0, 3, IF(COUNTIF(Sheet1!$J:$J, $I$8)&gt;0, 4, 0)))))), "")</f>
        <v/>
      </c>
    </row>
    <row r="367" spans="9:9" x14ac:dyDescent="0.25">
      <c r="I367" s="3" t="str" cm="1">
        <f t="array" ref="I367">IFERROR(IF(E367="", "", INDEX(Sheet1!$G:$J, MATCH(E367, Sheet1!$C:$C, 0), IF(COUNTIF(Sheet1!$G:$G, $I$8)&gt;0, 1, IF(COUNTIF(Sheet1!$H:$H, $I$8)&gt;0, 2, IF(COUNTIF(Sheet1!$I:$I, $I$8)&gt;0, 3, IF(COUNTIF(Sheet1!$J:$J, $I$8)&gt;0, 4, 0)))))), "")</f>
        <v/>
      </c>
    </row>
    <row r="368" spans="9:9" x14ac:dyDescent="0.25">
      <c r="I368" s="3" t="str" cm="1">
        <f t="array" ref="I368">IFERROR(IF(E368="", "", INDEX(Sheet1!$G:$J, MATCH(E368, Sheet1!$C:$C, 0), IF(COUNTIF(Sheet1!$G:$G, $I$8)&gt;0, 1, IF(COUNTIF(Sheet1!$H:$H, $I$8)&gt;0, 2, IF(COUNTIF(Sheet1!$I:$I, $I$8)&gt;0, 3, IF(COUNTIF(Sheet1!$J:$J, $I$8)&gt;0, 4, 0)))))), "")</f>
        <v/>
      </c>
    </row>
    <row r="369" spans="9:9" x14ac:dyDescent="0.25">
      <c r="I369" s="3" t="str" cm="1">
        <f t="array" ref="I369">IFERROR(IF(E369="", "", INDEX(Sheet1!$G:$J, MATCH(E369, Sheet1!$C:$C, 0), IF(COUNTIF(Sheet1!$G:$G, $I$8)&gt;0, 1, IF(COUNTIF(Sheet1!$H:$H, $I$8)&gt;0, 2, IF(COUNTIF(Sheet1!$I:$I, $I$8)&gt;0, 3, IF(COUNTIF(Sheet1!$J:$J, $I$8)&gt;0, 4, 0)))))), "")</f>
        <v/>
      </c>
    </row>
    <row r="370" spans="9:9" x14ac:dyDescent="0.25">
      <c r="I370" s="3" t="str" cm="1">
        <f t="array" ref="I370">IFERROR(IF(E370="", "", INDEX(Sheet1!$G:$J, MATCH(E370, Sheet1!$C:$C, 0), IF(COUNTIF(Sheet1!$G:$G, $I$8)&gt;0, 1, IF(COUNTIF(Sheet1!$H:$H, $I$8)&gt;0, 2, IF(COUNTIF(Sheet1!$I:$I, $I$8)&gt;0, 3, IF(COUNTIF(Sheet1!$J:$J, $I$8)&gt;0, 4, 0)))))), "")</f>
        <v/>
      </c>
    </row>
    <row r="371" spans="9:9" x14ac:dyDescent="0.25">
      <c r="I371" s="3" t="str" cm="1">
        <f t="array" ref="I371">IFERROR(IF(E371="", "", INDEX(Sheet1!$G:$J, MATCH(E371, Sheet1!$C:$C, 0), IF(COUNTIF(Sheet1!$G:$G, $I$8)&gt;0, 1, IF(COUNTIF(Sheet1!$H:$H, $I$8)&gt;0, 2, IF(COUNTIF(Sheet1!$I:$I, $I$8)&gt;0, 3, IF(COUNTIF(Sheet1!$J:$J, $I$8)&gt;0, 4, 0)))))), "")</f>
        <v/>
      </c>
    </row>
    <row r="372" spans="9:9" x14ac:dyDescent="0.25">
      <c r="I372" s="3" t="str" cm="1">
        <f t="array" ref="I372">IFERROR(IF(E372="", "", INDEX(Sheet1!$G:$J, MATCH(E372, Sheet1!$C:$C, 0), IF(COUNTIF(Sheet1!$G:$G, $I$8)&gt;0, 1, IF(COUNTIF(Sheet1!$H:$H, $I$8)&gt;0, 2, IF(COUNTIF(Sheet1!$I:$I, $I$8)&gt;0, 3, IF(COUNTIF(Sheet1!$J:$J, $I$8)&gt;0, 4, 0)))))), "")</f>
        <v/>
      </c>
    </row>
    <row r="373" spans="9:9" x14ac:dyDescent="0.25">
      <c r="I373" s="3" t="str" cm="1">
        <f t="array" ref="I373">IFERROR(IF(E373="", "", INDEX(Sheet1!$G:$J, MATCH(E373, Sheet1!$C:$C, 0), IF(COUNTIF(Sheet1!$G:$G, $I$8)&gt;0, 1, IF(COUNTIF(Sheet1!$H:$H, $I$8)&gt;0, 2, IF(COUNTIF(Sheet1!$I:$I, $I$8)&gt;0, 3, IF(COUNTIF(Sheet1!$J:$J, $I$8)&gt;0, 4, 0)))))), "")</f>
        <v/>
      </c>
    </row>
    <row r="374" spans="9:9" x14ac:dyDescent="0.25">
      <c r="I374" s="3" t="str" cm="1">
        <f t="array" ref="I374">IFERROR(IF(E374="", "", INDEX(Sheet1!$G:$J, MATCH(E374, Sheet1!$C:$C, 0), IF(COUNTIF(Sheet1!$G:$G, $I$8)&gt;0, 1, IF(COUNTIF(Sheet1!$H:$H, $I$8)&gt;0, 2, IF(COUNTIF(Sheet1!$I:$I, $I$8)&gt;0, 3, IF(COUNTIF(Sheet1!$J:$J, $I$8)&gt;0, 4, 0)))))), "")</f>
        <v/>
      </c>
    </row>
    <row r="375" spans="9:9" x14ac:dyDescent="0.25">
      <c r="I375" s="3" t="str" cm="1">
        <f t="array" ref="I375">IFERROR(IF(E375="", "", INDEX(Sheet1!$G:$J, MATCH(E375, Sheet1!$C:$C, 0), IF(COUNTIF(Sheet1!$G:$G, $I$8)&gt;0, 1, IF(COUNTIF(Sheet1!$H:$H, $I$8)&gt;0, 2, IF(COUNTIF(Sheet1!$I:$I, $I$8)&gt;0, 3, IF(COUNTIF(Sheet1!$J:$J, $I$8)&gt;0, 4, 0)))))), "")</f>
        <v/>
      </c>
    </row>
    <row r="376" spans="9:9" x14ac:dyDescent="0.25">
      <c r="I376" s="3" t="str" cm="1">
        <f t="array" ref="I376">IFERROR(IF(E376="", "", INDEX(Sheet1!$G:$J, MATCH(E376, Sheet1!$C:$C, 0), IF(COUNTIF(Sheet1!$G:$G, $I$8)&gt;0, 1, IF(COUNTIF(Sheet1!$H:$H, $I$8)&gt;0, 2, IF(COUNTIF(Sheet1!$I:$I, $I$8)&gt;0, 3, IF(COUNTIF(Sheet1!$J:$J, $I$8)&gt;0, 4, 0)))))), "")</f>
        <v/>
      </c>
    </row>
    <row r="377" spans="9:9" x14ac:dyDescent="0.25">
      <c r="I377" s="3" t="str" cm="1">
        <f t="array" ref="I377">IFERROR(IF(E377="", "", INDEX(Sheet1!$G:$J, MATCH(E377, Sheet1!$C:$C, 0), IF(COUNTIF(Sheet1!$G:$G, $I$8)&gt;0, 1, IF(COUNTIF(Sheet1!$H:$H, $I$8)&gt;0, 2, IF(COUNTIF(Sheet1!$I:$I, $I$8)&gt;0, 3, IF(COUNTIF(Sheet1!$J:$J, $I$8)&gt;0, 4, 0)))))), "")</f>
        <v/>
      </c>
    </row>
    <row r="378" spans="9:9" x14ac:dyDescent="0.25">
      <c r="I378" s="3" t="str" cm="1">
        <f t="array" ref="I378">IFERROR(IF(E378="", "", INDEX(Sheet1!$G:$J, MATCH(E378, Sheet1!$C:$C, 0), IF(COUNTIF(Sheet1!$G:$G, $I$8)&gt;0, 1, IF(COUNTIF(Sheet1!$H:$H, $I$8)&gt;0, 2, IF(COUNTIF(Sheet1!$I:$I, $I$8)&gt;0, 3, IF(COUNTIF(Sheet1!$J:$J, $I$8)&gt;0, 4, 0)))))), "")</f>
        <v/>
      </c>
    </row>
    <row r="379" spans="9:9" x14ac:dyDescent="0.25">
      <c r="I379" s="3" t="str" cm="1">
        <f t="array" ref="I379">IFERROR(IF(E379="", "", INDEX(Sheet1!$G:$J, MATCH(E379, Sheet1!$C:$C, 0), IF(COUNTIF(Sheet1!$G:$G, $I$8)&gt;0, 1, IF(COUNTIF(Sheet1!$H:$H, $I$8)&gt;0, 2, IF(COUNTIF(Sheet1!$I:$I, $I$8)&gt;0, 3, IF(COUNTIF(Sheet1!$J:$J, $I$8)&gt;0, 4, 0)))))), "")</f>
        <v/>
      </c>
    </row>
    <row r="380" spans="9:9" x14ac:dyDescent="0.25">
      <c r="I380" s="3" t="str" cm="1">
        <f t="array" ref="I380">IFERROR(IF(E380="", "", INDEX(Sheet1!$G:$J, MATCH(E380, Sheet1!$C:$C, 0), IF(COUNTIF(Sheet1!$G:$G, $I$8)&gt;0, 1, IF(COUNTIF(Sheet1!$H:$H, $I$8)&gt;0, 2, IF(COUNTIF(Sheet1!$I:$I, $I$8)&gt;0, 3, IF(COUNTIF(Sheet1!$J:$J, $I$8)&gt;0, 4, 0)))))), "")</f>
        <v/>
      </c>
    </row>
    <row r="381" spans="9:9" x14ac:dyDescent="0.25">
      <c r="I381" s="3" t="str" cm="1">
        <f t="array" ref="I381">IFERROR(IF(E381="", "", INDEX(Sheet1!$G:$J, MATCH(E381, Sheet1!$C:$C, 0), IF(COUNTIF(Sheet1!$G:$G, $I$8)&gt;0, 1, IF(COUNTIF(Sheet1!$H:$H, $I$8)&gt;0, 2, IF(COUNTIF(Sheet1!$I:$I, $I$8)&gt;0, 3, IF(COUNTIF(Sheet1!$J:$J, $I$8)&gt;0, 4, 0)))))), "")</f>
        <v/>
      </c>
    </row>
    <row r="382" spans="9:9" x14ac:dyDescent="0.25">
      <c r="I382" s="3" t="str" cm="1">
        <f t="array" ref="I382">IFERROR(IF(E382="", "", INDEX(Sheet1!$G:$J, MATCH(E382, Sheet1!$C:$C, 0), IF(COUNTIF(Sheet1!$G:$G, $I$8)&gt;0, 1, IF(COUNTIF(Sheet1!$H:$H, $I$8)&gt;0, 2, IF(COUNTIF(Sheet1!$I:$I, $I$8)&gt;0, 3, IF(COUNTIF(Sheet1!$J:$J, $I$8)&gt;0, 4, 0)))))), "")</f>
        <v/>
      </c>
    </row>
    <row r="383" spans="9:9" x14ac:dyDescent="0.25">
      <c r="I383" s="3" t="str" cm="1">
        <f t="array" ref="I383">IFERROR(IF(E383="", "", INDEX(Sheet1!$G:$J, MATCH(E383, Sheet1!$C:$C, 0), IF(COUNTIF(Sheet1!$G:$G, $I$8)&gt;0, 1, IF(COUNTIF(Sheet1!$H:$H, $I$8)&gt;0, 2, IF(COUNTIF(Sheet1!$I:$I, $I$8)&gt;0, 3, IF(COUNTIF(Sheet1!$J:$J, $I$8)&gt;0, 4, 0)))))), "")</f>
        <v/>
      </c>
    </row>
    <row r="384" spans="9:9" x14ac:dyDescent="0.25">
      <c r="I384" s="3" t="str" cm="1">
        <f t="array" ref="I384">IFERROR(IF(E384="", "", INDEX(Sheet1!$G:$J, MATCH(E384, Sheet1!$C:$C, 0), IF(COUNTIF(Sheet1!$G:$G, $I$8)&gt;0, 1, IF(COUNTIF(Sheet1!$H:$H, $I$8)&gt;0, 2, IF(COUNTIF(Sheet1!$I:$I, $I$8)&gt;0, 3, IF(COUNTIF(Sheet1!$J:$J, $I$8)&gt;0, 4, 0)))))), "")</f>
        <v/>
      </c>
    </row>
    <row r="385" spans="9:9" x14ac:dyDescent="0.25">
      <c r="I385" s="3" t="str" cm="1">
        <f t="array" ref="I385">IFERROR(IF(E385="", "", INDEX(Sheet1!$G:$J, MATCH(E385, Sheet1!$C:$C, 0), IF(COUNTIF(Sheet1!$G:$G, $I$8)&gt;0, 1, IF(COUNTIF(Sheet1!$H:$H, $I$8)&gt;0, 2, IF(COUNTIF(Sheet1!$I:$I, $I$8)&gt;0, 3, IF(COUNTIF(Sheet1!$J:$J, $I$8)&gt;0, 4, 0)))))), "")</f>
        <v/>
      </c>
    </row>
    <row r="386" spans="9:9" x14ac:dyDescent="0.25">
      <c r="I386" s="3" t="str" cm="1">
        <f t="array" ref="I386">IFERROR(IF(E386="", "", INDEX(Sheet1!$G:$J, MATCH(E386, Sheet1!$C:$C, 0), IF(COUNTIF(Sheet1!$G:$G, $I$8)&gt;0, 1, IF(COUNTIF(Sheet1!$H:$H, $I$8)&gt;0, 2, IF(COUNTIF(Sheet1!$I:$I, $I$8)&gt;0, 3, IF(COUNTIF(Sheet1!$J:$J, $I$8)&gt;0, 4, 0)))))), "")</f>
        <v/>
      </c>
    </row>
    <row r="387" spans="9:9" x14ac:dyDescent="0.25">
      <c r="I387" s="3" t="str" cm="1">
        <f t="array" ref="I387">IFERROR(IF(E387="", "", INDEX(Sheet1!$G:$J, MATCH(E387, Sheet1!$C:$C, 0), IF(COUNTIF(Sheet1!$G:$G, $I$8)&gt;0, 1, IF(COUNTIF(Sheet1!$H:$H, $I$8)&gt;0, 2, IF(COUNTIF(Sheet1!$I:$I, $I$8)&gt;0, 3, IF(COUNTIF(Sheet1!$J:$J, $I$8)&gt;0, 4, 0)))))), "")</f>
        <v/>
      </c>
    </row>
    <row r="388" spans="9:9" x14ac:dyDescent="0.25">
      <c r="I388" s="3" t="str" cm="1">
        <f t="array" ref="I388">IFERROR(IF(E388="", "", INDEX(Sheet1!$G:$J, MATCH(E388, Sheet1!$C:$C, 0), IF(COUNTIF(Sheet1!$G:$G, $I$8)&gt;0, 1, IF(COUNTIF(Sheet1!$H:$H, $I$8)&gt;0, 2, IF(COUNTIF(Sheet1!$I:$I, $I$8)&gt;0, 3, IF(COUNTIF(Sheet1!$J:$J, $I$8)&gt;0, 4, 0)))))), "")</f>
        <v/>
      </c>
    </row>
    <row r="389" spans="9:9" x14ac:dyDescent="0.25">
      <c r="I389" s="3" t="str" cm="1">
        <f t="array" ref="I389">IFERROR(IF(E389="", "", INDEX(Sheet1!$G:$J, MATCH(E389, Sheet1!$C:$C, 0), IF(COUNTIF(Sheet1!$G:$G, $I$8)&gt;0, 1, IF(COUNTIF(Sheet1!$H:$H, $I$8)&gt;0, 2, IF(COUNTIF(Sheet1!$I:$I, $I$8)&gt;0, 3, IF(COUNTIF(Sheet1!$J:$J, $I$8)&gt;0, 4, 0)))))), "")</f>
        <v/>
      </c>
    </row>
    <row r="390" spans="9:9" x14ac:dyDescent="0.25">
      <c r="I390" s="3" t="str" cm="1">
        <f t="array" ref="I390">IFERROR(IF(E390="", "", INDEX(Sheet1!$G:$J, MATCH(E390, Sheet1!$C:$C, 0), IF(COUNTIF(Sheet1!$G:$G, $I$8)&gt;0, 1, IF(COUNTIF(Sheet1!$H:$H, $I$8)&gt;0, 2, IF(COUNTIF(Sheet1!$I:$I, $I$8)&gt;0, 3, IF(COUNTIF(Sheet1!$J:$J, $I$8)&gt;0, 4, 0)))))), "")</f>
        <v/>
      </c>
    </row>
    <row r="391" spans="9:9" x14ac:dyDescent="0.25">
      <c r="I391" s="3" t="str" cm="1">
        <f t="array" ref="I391">IFERROR(IF(E391="", "", INDEX(Sheet1!$G:$J, MATCH(E391, Sheet1!$C:$C, 0), IF(COUNTIF(Sheet1!$G:$G, $I$8)&gt;0, 1, IF(COUNTIF(Sheet1!$H:$H, $I$8)&gt;0, 2, IF(COUNTIF(Sheet1!$I:$I, $I$8)&gt;0, 3, IF(COUNTIF(Sheet1!$J:$J, $I$8)&gt;0, 4, 0)))))), "")</f>
        <v/>
      </c>
    </row>
    <row r="392" spans="9:9" x14ac:dyDescent="0.25">
      <c r="I392" s="3" t="str" cm="1">
        <f t="array" ref="I392">IFERROR(IF(E392="", "", INDEX(Sheet1!$G:$J, MATCH(E392, Sheet1!$C:$C, 0), IF(COUNTIF(Sheet1!$G:$G, $I$8)&gt;0, 1, IF(COUNTIF(Sheet1!$H:$H, $I$8)&gt;0, 2, IF(COUNTIF(Sheet1!$I:$I, $I$8)&gt;0, 3, IF(COUNTIF(Sheet1!$J:$J, $I$8)&gt;0, 4, 0)))))), "")</f>
        <v/>
      </c>
    </row>
    <row r="393" spans="9:9" x14ac:dyDescent="0.25">
      <c r="I393" s="3" t="str" cm="1">
        <f t="array" ref="I393">IFERROR(IF(E393="", "", INDEX(Sheet1!$G:$J, MATCH(E393, Sheet1!$C:$C, 0), IF(COUNTIF(Sheet1!$G:$G, $I$8)&gt;0, 1, IF(COUNTIF(Sheet1!$H:$H, $I$8)&gt;0, 2, IF(COUNTIF(Sheet1!$I:$I, $I$8)&gt;0, 3, IF(COUNTIF(Sheet1!$J:$J, $I$8)&gt;0, 4, 0)))))), "")</f>
        <v/>
      </c>
    </row>
    <row r="394" spans="9:9" x14ac:dyDescent="0.25">
      <c r="I394" s="3" t="str" cm="1">
        <f t="array" ref="I394">IFERROR(IF(E394="", "", INDEX(Sheet1!$G:$J, MATCH(E394, Sheet1!$C:$C, 0), IF(COUNTIF(Sheet1!$G:$G, $I$8)&gt;0, 1, IF(COUNTIF(Sheet1!$H:$H, $I$8)&gt;0, 2, IF(COUNTIF(Sheet1!$I:$I, $I$8)&gt;0, 3, IF(COUNTIF(Sheet1!$J:$J, $I$8)&gt;0, 4, 0)))))), "")</f>
        <v/>
      </c>
    </row>
    <row r="395" spans="9:9" x14ac:dyDescent="0.25">
      <c r="I395" s="3" t="str" cm="1">
        <f t="array" ref="I395">IFERROR(IF(E395="", "", INDEX(Sheet1!$G:$J, MATCH(E395, Sheet1!$C:$C, 0), IF(COUNTIF(Sheet1!$G:$G, $I$8)&gt;0, 1, IF(COUNTIF(Sheet1!$H:$H, $I$8)&gt;0, 2, IF(COUNTIF(Sheet1!$I:$I, $I$8)&gt;0, 3, IF(COUNTIF(Sheet1!$J:$J, $I$8)&gt;0, 4, 0)))))), "")</f>
        <v/>
      </c>
    </row>
    <row r="396" spans="9:9" x14ac:dyDescent="0.25">
      <c r="I396" s="3" t="str" cm="1">
        <f t="array" ref="I396">IFERROR(IF(E396="", "", INDEX(Sheet1!$G:$J, MATCH(E396, Sheet1!$C:$C, 0), IF(COUNTIF(Sheet1!$G:$G, $I$8)&gt;0, 1, IF(COUNTIF(Sheet1!$H:$H, $I$8)&gt;0, 2, IF(COUNTIF(Sheet1!$I:$I, $I$8)&gt;0, 3, IF(COUNTIF(Sheet1!$J:$J, $I$8)&gt;0, 4, 0)))))), "")</f>
        <v/>
      </c>
    </row>
    <row r="397" spans="9:9" x14ac:dyDescent="0.25">
      <c r="I397" s="3" t="str" cm="1">
        <f t="array" ref="I397">IFERROR(IF(E397="", "", INDEX(Sheet1!$G:$J, MATCH(E397, Sheet1!$C:$C, 0), IF(COUNTIF(Sheet1!$G:$G, $I$8)&gt;0, 1, IF(COUNTIF(Sheet1!$H:$H, $I$8)&gt;0, 2, IF(COUNTIF(Sheet1!$I:$I, $I$8)&gt;0, 3, IF(COUNTIF(Sheet1!$J:$J, $I$8)&gt;0, 4, 0)))))), "")</f>
        <v/>
      </c>
    </row>
    <row r="398" spans="9:9" x14ac:dyDescent="0.25">
      <c r="I398" s="3" t="str" cm="1">
        <f t="array" ref="I398">IFERROR(IF(E398="", "", INDEX(Sheet1!$G:$J, MATCH(E398, Sheet1!$C:$C, 0), IF(COUNTIF(Sheet1!$G:$G, $I$8)&gt;0, 1, IF(COUNTIF(Sheet1!$H:$H, $I$8)&gt;0, 2, IF(COUNTIF(Sheet1!$I:$I, $I$8)&gt;0, 3, IF(COUNTIF(Sheet1!$J:$J, $I$8)&gt;0, 4, 0)))))), "")</f>
        <v/>
      </c>
    </row>
    <row r="399" spans="9:9" x14ac:dyDescent="0.25">
      <c r="I399" s="3" t="str" cm="1">
        <f t="array" ref="I399">IFERROR(IF(E399="", "", INDEX(Sheet1!$G:$J, MATCH(E399, Sheet1!$C:$C, 0), IF(COUNTIF(Sheet1!$G:$G, $I$8)&gt;0, 1, IF(COUNTIF(Sheet1!$H:$H, $I$8)&gt;0, 2, IF(COUNTIF(Sheet1!$I:$I, $I$8)&gt;0, 3, IF(COUNTIF(Sheet1!$J:$J, $I$8)&gt;0, 4, 0)))))), "")</f>
        <v/>
      </c>
    </row>
    <row r="400" spans="9:9" x14ac:dyDescent="0.25">
      <c r="I400" s="3" t="str" cm="1">
        <f t="array" ref="I400">IFERROR(IF(E400="", "", INDEX(Sheet1!$G:$J, MATCH(E400, Sheet1!$C:$C, 0), IF(COUNTIF(Sheet1!$G:$G, $I$8)&gt;0, 1, IF(COUNTIF(Sheet1!$H:$H, $I$8)&gt;0, 2, IF(COUNTIF(Sheet1!$I:$I, $I$8)&gt;0, 3, IF(COUNTIF(Sheet1!$J:$J, $I$8)&gt;0, 4, 0)))))), "")</f>
        <v/>
      </c>
    </row>
    <row r="401" spans="9:9" x14ac:dyDescent="0.25">
      <c r="I401" s="3" t="str" cm="1">
        <f t="array" ref="I401">IFERROR(IF(E401="", "", INDEX(Sheet1!$G:$J, MATCH(E401, Sheet1!$C:$C, 0), IF(COUNTIF(Sheet1!$G:$G, $I$8)&gt;0, 1, IF(COUNTIF(Sheet1!$H:$H, $I$8)&gt;0, 2, IF(COUNTIF(Sheet1!$I:$I, $I$8)&gt;0, 3, IF(COUNTIF(Sheet1!$J:$J, $I$8)&gt;0, 4, 0)))))), "")</f>
        <v/>
      </c>
    </row>
    <row r="402" spans="9:9" x14ac:dyDescent="0.25">
      <c r="I402" s="3" t="str" cm="1">
        <f t="array" ref="I402">IFERROR(IF(E402="", "", INDEX(Sheet1!$G:$J, MATCH(E402, Sheet1!$C:$C, 0), IF(COUNTIF(Sheet1!$G:$G, $I$8)&gt;0, 1, IF(COUNTIF(Sheet1!$H:$H, $I$8)&gt;0, 2, IF(COUNTIF(Sheet1!$I:$I, $I$8)&gt;0, 3, IF(COUNTIF(Sheet1!$J:$J, $I$8)&gt;0, 4, 0)))))), "")</f>
        <v/>
      </c>
    </row>
    <row r="403" spans="9:9" x14ac:dyDescent="0.25">
      <c r="I403" s="3" t="str" cm="1">
        <f t="array" ref="I403">IFERROR(IF(E403="", "", INDEX(Sheet1!$G:$J, MATCH(E403, Sheet1!$C:$C, 0), IF(COUNTIF(Sheet1!$G:$G, $I$8)&gt;0, 1, IF(COUNTIF(Sheet1!$H:$H, $I$8)&gt;0, 2, IF(COUNTIF(Sheet1!$I:$I, $I$8)&gt;0, 3, IF(COUNTIF(Sheet1!$J:$J, $I$8)&gt;0, 4, 0)))))), "")</f>
        <v/>
      </c>
    </row>
    <row r="404" spans="9:9" x14ac:dyDescent="0.25">
      <c r="I404" s="3" t="str" cm="1">
        <f t="array" ref="I404">IFERROR(IF(E404="", "", INDEX(Sheet1!$G:$J, MATCH(E404, Sheet1!$C:$C, 0), IF(COUNTIF(Sheet1!$G:$G, $I$8)&gt;0, 1, IF(COUNTIF(Sheet1!$H:$H, $I$8)&gt;0, 2, IF(COUNTIF(Sheet1!$I:$I, $I$8)&gt;0, 3, IF(COUNTIF(Sheet1!$J:$J, $I$8)&gt;0, 4, 0)))))), "")</f>
        <v/>
      </c>
    </row>
    <row r="405" spans="9:9" x14ac:dyDescent="0.25">
      <c r="I405" s="3" t="str" cm="1">
        <f t="array" ref="I405">IFERROR(IF(E405="", "", INDEX(Sheet1!$G:$J, MATCH(E405, Sheet1!$C:$C, 0), IF(COUNTIF(Sheet1!$G:$G, $I$8)&gt;0, 1, IF(COUNTIF(Sheet1!$H:$H, $I$8)&gt;0, 2, IF(COUNTIF(Sheet1!$I:$I, $I$8)&gt;0, 3, IF(COUNTIF(Sheet1!$J:$J, $I$8)&gt;0, 4, 0)))))), "")</f>
        <v/>
      </c>
    </row>
    <row r="406" spans="9:9" x14ac:dyDescent="0.25">
      <c r="I406" s="3" t="str" cm="1">
        <f t="array" ref="I406">IFERROR(IF(E406="", "", INDEX(Sheet1!$G:$J, MATCH(E406, Sheet1!$C:$C, 0), IF(COUNTIF(Sheet1!$G:$G, $I$8)&gt;0, 1, IF(COUNTIF(Sheet1!$H:$H, $I$8)&gt;0, 2, IF(COUNTIF(Sheet1!$I:$I, $I$8)&gt;0, 3, IF(COUNTIF(Sheet1!$J:$J, $I$8)&gt;0, 4, 0)))))), "")</f>
        <v/>
      </c>
    </row>
    <row r="407" spans="9:9" x14ac:dyDescent="0.25">
      <c r="I407" s="3" t="str" cm="1">
        <f t="array" ref="I407">IFERROR(IF(E407="", "", INDEX(Sheet1!$G:$J, MATCH(E407, Sheet1!$C:$C, 0), IF(COUNTIF(Sheet1!$G:$G, $I$8)&gt;0, 1, IF(COUNTIF(Sheet1!$H:$H, $I$8)&gt;0, 2, IF(COUNTIF(Sheet1!$I:$I, $I$8)&gt;0, 3, IF(COUNTIF(Sheet1!$J:$J, $I$8)&gt;0, 4, 0)))))), "")</f>
        <v/>
      </c>
    </row>
    <row r="408" spans="9:9" x14ac:dyDescent="0.25">
      <c r="I408" s="3" t="str" cm="1">
        <f t="array" ref="I408">IFERROR(IF(E408="", "", INDEX(Sheet1!$G:$J, MATCH(E408, Sheet1!$C:$C, 0), IF(COUNTIF(Sheet1!$G:$G, $I$8)&gt;0, 1, IF(COUNTIF(Sheet1!$H:$H, $I$8)&gt;0, 2, IF(COUNTIF(Sheet1!$I:$I, $I$8)&gt;0, 3, IF(COUNTIF(Sheet1!$J:$J, $I$8)&gt;0, 4, 0)))))), "")</f>
        <v/>
      </c>
    </row>
    <row r="409" spans="9:9" x14ac:dyDescent="0.25">
      <c r="I409" s="3" t="str" cm="1">
        <f t="array" ref="I409">IFERROR(IF(E409="", "", INDEX(Sheet1!$G:$J, MATCH(E409, Sheet1!$C:$C, 0), IF(COUNTIF(Sheet1!$G:$G, $I$8)&gt;0, 1, IF(COUNTIF(Sheet1!$H:$H, $I$8)&gt;0, 2, IF(COUNTIF(Sheet1!$I:$I, $I$8)&gt;0, 3, IF(COUNTIF(Sheet1!$J:$J, $I$8)&gt;0, 4, 0)))))), "")</f>
        <v/>
      </c>
    </row>
    <row r="410" spans="9:9" x14ac:dyDescent="0.25">
      <c r="I410" s="3" t="str" cm="1">
        <f t="array" ref="I410">IFERROR(IF(E410="", "", INDEX(Sheet1!$G:$J, MATCH(E410, Sheet1!$C:$C, 0), IF(COUNTIF(Sheet1!$G:$G, $I$8)&gt;0, 1, IF(COUNTIF(Sheet1!$H:$H, $I$8)&gt;0, 2, IF(COUNTIF(Sheet1!$I:$I, $I$8)&gt;0, 3, IF(COUNTIF(Sheet1!$J:$J, $I$8)&gt;0, 4, 0)))))), "")</f>
        <v/>
      </c>
    </row>
    <row r="411" spans="9:9" x14ac:dyDescent="0.25">
      <c r="I411" s="3" t="str" cm="1">
        <f t="array" ref="I411">IFERROR(IF(E411="", "", INDEX(Sheet1!$G:$J, MATCH(E411, Sheet1!$C:$C, 0), IF(COUNTIF(Sheet1!$G:$G, $I$8)&gt;0, 1, IF(COUNTIF(Sheet1!$H:$H, $I$8)&gt;0, 2, IF(COUNTIF(Sheet1!$I:$I, $I$8)&gt;0, 3, IF(COUNTIF(Sheet1!$J:$J, $I$8)&gt;0, 4, 0)))))), "")</f>
        <v/>
      </c>
    </row>
    <row r="412" spans="9:9" x14ac:dyDescent="0.25">
      <c r="I412" s="3" t="str" cm="1">
        <f t="array" ref="I412">IFERROR(IF(E412="", "", INDEX(Sheet1!$G:$J, MATCH(E412, Sheet1!$C:$C, 0), IF(COUNTIF(Sheet1!$G:$G, $I$8)&gt;0, 1, IF(COUNTIF(Sheet1!$H:$H, $I$8)&gt;0, 2, IF(COUNTIF(Sheet1!$I:$I, $I$8)&gt;0, 3, IF(COUNTIF(Sheet1!$J:$J, $I$8)&gt;0, 4, 0)))))), "")</f>
        <v/>
      </c>
    </row>
    <row r="413" spans="9:9" x14ac:dyDescent="0.25">
      <c r="I413" s="3" t="str" cm="1">
        <f t="array" ref="I413">IFERROR(IF(E413="", "", INDEX(Sheet1!$G:$J, MATCH(E413, Sheet1!$C:$C, 0), IF(COUNTIF(Sheet1!$G:$G, $I$8)&gt;0, 1, IF(COUNTIF(Sheet1!$H:$H, $I$8)&gt;0, 2, IF(COUNTIF(Sheet1!$I:$I, $I$8)&gt;0, 3, IF(COUNTIF(Sheet1!$J:$J, $I$8)&gt;0, 4, 0)))))), "")</f>
        <v/>
      </c>
    </row>
    <row r="414" spans="9:9" x14ac:dyDescent="0.25">
      <c r="I414" s="3" t="str" cm="1">
        <f t="array" ref="I414">IFERROR(IF(E414="", "", INDEX(Sheet1!$G:$J, MATCH(E414, Sheet1!$C:$C, 0), IF(COUNTIF(Sheet1!$G:$G, $I$8)&gt;0, 1, IF(COUNTIF(Sheet1!$H:$H, $I$8)&gt;0, 2, IF(COUNTIF(Sheet1!$I:$I, $I$8)&gt;0, 3, IF(COUNTIF(Sheet1!$J:$J, $I$8)&gt;0, 4, 0)))))), "")</f>
        <v/>
      </c>
    </row>
    <row r="415" spans="9:9" x14ac:dyDescent="0.25">
      <c r="I415" s="3" t="str" cm="1">
        <f t="array" ref="I415">IFERROR(IF(E415="", "", INDEX(Sheet1!$G:$J, MATCH(E415, Sheet1!$C:$C, 0), IF(COUNTIF(Sheet1!$G:$G, $I$8)&gt;0, 1, IF(COUNTIF(Sheet1!$H:$H, $I$8)&gt;0, 2, IF(COUNTIF(Sheet1!$I:$I, $I$8)&gt;0, 3, IF(COUNTIF(Sheet1!$J:$J, $I$8)&gt;0, 4, 0)))))), "")</f>
        <v/>
      </c>
    </row>
    <row r="416" spans="9:9" x14ac:dyDescent="0.25">
      <c r="I416" s="3" t="str" cm="1">
        <f t="array" ref="I416">IFERROR(IF(E416="", "", INDEX(Sheet1!$G:$J, MATCH(E416, Sheet1!$C:$C, 0), IF(COUNTIF(Sheet1!$G:$G, $I$8)&gt;0, 1, IF(COUNTIF(Sheet1!$H:$H, $I$8)&gt;0, 2, IF(COUNTIF(Sheet1!$I:$I, $I$8)&gt;0, 3, IF(COUNTIF(Sheet1!$J:$J, $I$8)&gt;0, 4, 0)))))), "")</f>
        <v/>
      </c>
    </row>
    <row r="417" spans="9:9" x14ac:dyDescent="0.25">
      <c r="I417" s="3" t="str" cm="1">
        <f t="array" ref="I417">IFERROR(IF(E417="", "", INDEX(Sheet1!$G:$J, MATCH(E417, Sheet1!$C:$C, 0), IF(COUNTIF(Sheet1!$G:$G, $I$8)&gt;0, 1, IF(COUNTIF(Sheet1!$H:$H, $I$8)&gt;0, 2, IF(COUNTIF(Sheet1!$I:$I, $I$8)&gt;0, 3, IF(COUNTIF(Sheet1!$J:$J, $I$8)&gt;0, 4, 0)))))), "")</f>
        <v/>
      </c>
    </row>
    <row r="418" spans="9:9" x14ac:dyDescent="0.25">
      <c r="I418" s="3" t="str" cm="1">
        <f t="array" ref="I418">IFERROR(IF(E418="", "", INDEX(Sheet1!$G:$J, MATCH(E418, Sheet1!$C:$C, 0), IF(COUNTIF(Sheet1!$G:$G, $I$8)&gt;0, 1, IF(COUNTIF(Sheet1!$H:$H, $I$8)&gt;0, 2, IF(COUNTIF(Sheet1!$I:$I, $I$8)&gt;0, 3, IF(COUNTIF(Sheet1!$J:$J, $I$8)&gt;0, 4, 0)))))), "")</f>
        <v/>
      </c>
    </row>
    <row r="419" spans="9:9" x14ac:dyDescent="0.25">
      <c r="I419" s="3" t="str" cm="1">
        <f t="array" ref="I419">IFERROR(IF(E419="", "", INDEX(Sheet1!$G:$J, MATCH(E419, Sheet1!$C:$C, 0), IF(COUNTIF(Sheet1!$G:$G, $I$8)&gt;0, 1, IF(COUNTIF(Sheet1!$H:$H, $I$8)&gt;0, 2, IF(COUNTIF(Sheet1!$I:$I, $I$8)&gt;0, 3, IF(COUNTIF(Sheet1!$J:$J, $I$8)&gt;0, 4, 0)))))), "")</f>
        <v/>
      </c>
    </row>
    <row r="420" spans="9:9" x14ac:dyDescent="0.25">
      <c r="I420" s="3" t="str" cm="1">
        <f t="array" ref="I420">IFERROR(IF(E420="", "", INDEX(Sheet1!$G:$J, MATCH(E420, Sheet1!$C:$C, 0), IF(COUNTIF(Sheet1!$G:$G, $I$8)&gt;0, 1, IF(COUNTIF(Sheet1!$H:$H, $I$8)&gt;0, 2, IF(COUNTIF(Sheet1!$I:$I, $I$8)&gt;0, 3, IF(COUNTIF(Sheet1!$J:$J, $I$8)&gt;0, 4, 0)))))), "")</f>
        <v/>
      </c>
    </row>
    <row r="421" spans="9:9" x14ac:dyDescent="0.25">
      <c r="I421" s="3" t="str" cm="1">
        <f t="array" ref="I421">IFERROR(IF(E421="", "", INDEX(Sheet1!$G:$J, MATCH(E421, Sheet1!$C:$C, 0), IF(COUNTIF(Sheet1!$G:$G, $I$8)&gt;0, 1, IF(COUNTIF(Sheet1!$H:$H, $I$8)&gt;0, 2, IF(COUNTIF(Sheet1!$I:$I, $I$8)&gt;0, 3, IF(COUNTIF(Sheet1!$J:$J, $I$8)&gt;0, 4, 0)))))), "")</f>
        <v/>
      </c>
    </row>
    <row r="422" spans="9:9" x14ac:dyDescent="0.25">
      <c r="I422" s="3" t="str" cm="1">
        <f t="array" ref="I422">IFERROR(IF(E422="", "", INDEX(Sheet1!$G:$J, MATCH(E422, Sheet1!$C:$C, 0), IF(COUNTIF(Sheet1!$G:$G, $I$8)&gt;0, 1, IF(COUNTIF(Sheet1!$H:$H, $I$8)&gt;0, 2, IF(COUNTIF(Sheet1!$I:$I, $I$8)&gt;0, 3, IF(COUNTIF(Sheet1!$J:$J, $I$8)&gt;0, 4, 0)))))), "")</f>
        <v/>
      </c>
    </row>
    <row r="423" spans="9:9" x14ac:dyDescent="0.25">
      <c r="I423" s="3" t="str" cm="1">
        <f t="array" ref="I423">IFERROR(IF(E423="", "", INDEX(Sheet1!$G:$J, MATCH(E423, Sheet1!$C:$C, 0), IF(COUNTIF(Sheet1!$G:$G, $I$8)&gt;0, 1, IF(COUNTIF(Sheet1!$H:$H, $I$8)&gt;0, 2, IF(COUNTIF(Sheet1!$I:$I, $I$8)&gt;0, 3, IF(COUNTIF(Sheet1!$J:$J, $I$8)&gt;0, 4, 0)))))), "")</f>
        <v/>
      </c>
    </row>
    <row r="424" spans="9:9" x14ac:dyDescent="0.25">
      <c r="I424" s="3" t="str" cm="1">
        <f t="array" ref="I424">IFERROR(IF(E424="", "", INDEX(Sheet1!$G:$J, MATCH(E424, Sheet1!$C:$C, 0), IF(COUNTIF(Sheet1!$G:$G, $I$8)&gt;0, 1, IF(COUNTIF(Sheet1!$H:$H, $I$8)&gt;0, 2, IF(COUNTIF(Sheet1!$I:$I, $I$8)&gt;0, 3, IF(COUNTIF(Sheet1!$J:$J, $I$8)&gt;0, 4, 0)))))), "")</f>
        <v/>
      </c>
    </row>
    <row r="425" spans="9:9" x14ac:dyDescent="0.25">
      <c r="I425" s="3" t="str" cm="1">
        <f t="array" ref="I425">IFERROR(IF(E425="", "", INDEX(Sheet1!$G:$J, MATCH(E425, Sheet1!$C:$C, 0), IF(COUNTIF(Sheet1!$G:$G, $I$8)&gt;0, 1, IF(COUNTIF(Sheet1!$H:$H, $I$8)&gt;0, 2, IF(COUNTIF(Sheet1!$I:$I, $I$8)&gt;0, 3, IF(COUNTIF(Sheet1!$J:$J, $I$8)&gt;0, 4, 0)))))), "")</f>
        <v/>
      </c>
    </row>
    <row r="426" spans="9:9" x14ac:dyDescent="0.25">
      <c r="I426" s="3" t="str" cm="1">
        <f t="array" ref="I426">IFERROR(IF(E426="", "", INDEX(Sheet1!$G:$J, MATCH(E426, Sheet1!$C:$C, 0), IF(COUNTIF(Sheet1!$G:$G, $I$8)&gt;0, 1, IF(COUNTIF(Sheet1!$H:$H, $I$8)&gt;0, 2, IF(COUNTIF(Sheet1!$I:$I, $I$8)&gt;0, 3, IF(COUNTIF(Sheet1!$J:$J, $I$8)&gt;0, 4, 0)))))), "")</f>
        <v/>
      </c>
    </row>
    <row r="427" spans="9:9" x14ac:dyDescent="0.25">
      <c r="I427" s="3" t="str" cm="1">
        <f t="array" ref="I427">IFERROR(IF(E427="", "", INDEX(Sheet1!$G:$J, MATCH(E427, Sheet1!$C:$C, 0), IF(COUNTIF(Sheet1!$G:$G, $I$8)&gt;0, 1, IF(COUNTIF(Sheet1!$H:$H, $I$8)&gt;0, 2, IF(COUNTIF(Sheet1!$I:$I, $I$8)&gt;0, 3, IF(COUNTIF(Sheet1!$J:$J, $I$8)&gt;0, 4, 0)))))), "")</f>
        <v/>
      </c>
    </row>
    <row r="428" spans="9:9" x14ac:dyDescent="0.25">
      <c r="I428" s="3" t="str" cm="1">
        <f t="array" ref="I428">IFERROR(IF(E428="", "", INDEX(Sheet1!$G:$J, MATCH(E428, Sheet1!$C:$C, 0), IF(COUNTIF(Sheet1!$G:$G, $I$8)&gt;0, 1, IF(COUNTIF(Sheet1!$H:$H, $I$8)&gt;0, 2, IF(COUNTIF(Sheet1!$I:$I, $I$8)&gt;0, 3, IF(COUNTIF(Sheet1!$J:$J, $I$8)&gt;0, 4, 0)))))), "")</f>
        <v/>
      </c>
    </row>
    <row r="429" spans="9:9" x14ac:dyDescent="0.25">
      <c r="I429" s="3" t="str" cm="1">
        <f t="array" ref="I429">IFERROR(IF(E429="", "", INDEX(Sheet1!$G:$J, MATCH(E429, Sheet1!$C:$C, 0), IF(COUNTIF(Sheet1!$G:$G, $I$8)&gt;0, 1, IF(COUNTIF(Sheet1!$H:$H, $I$8)&gt;0, 2, IF(COUNTIF(Sheet1!$I:$I, $I$8)&gt;0, 3, IF(COUNTIF(Sheet1!$J:$J, $I$8)&gt;0, 4, 0)))))), "")</f>
        <v/>
      </c>
    </row>
    <row r="430" spans="9:9" x14ac:dyDescent="0.25">
      <c r="I430" s="3" t="str" cm="1">
        <f t="array" ref="I430">IFERROR(IF(E430="", "", INDEX(Sheet1!$G:$J, MATCH(E430, Sheet1!$C:$C, 0), IF(COUNTIF(Sheet1!$G:$G, $I$8)&gt;0, 1, IF(COUNTIF(Sheet1!$H:$H, $I$8)&gt;0, 2, IF(COUNTIF(Sheet1!$I:$I, $I$8)&gt;0, 3, IF(COUNTIF(Sheet1!$J:$J, $I$8)&gt;0, 4, 0)))))), "")</f>
        <v/>
      </c>
    </row>
    <row r="431" spans="9:9" x14ac:dyDescent="0.25">
      <c r="I431" s="3" t="str" cm="1">
        <f t="array" ref="I431">IFERROR(IF(E431="", "", INDEX(Sheet1!$G:$J, MATCH(E431, Sheet1!$C:$C, 0), IF(COUNTIF(Sheet1!$G:$G, $I$8)&gt;0, 1, IF(COUNTIF(Sheet1!$H:$H, $I$8)&gt;0, 2, IF(COUNTIF(Sheet1!$I:$I, $I$8)&gt;0, 3, IF(COUNTIF(Sheet1!$J:$J, $I$8)&gt;0, 4, 0)))))), "")</f>
        <v/>
      </c>
    </row>
    <row r="432" spans="9:9" x14ac:dyDescent="0.25">
      <c r="I432" s="3" t="str" cm="1">
        <f t="array" ref="I432">IFERROR(IF(E432="", "", INDEX(Sheet1!$G:$J, MATCH(E432, Sheet1!$C:$C, 0), IF(COUNTIF(Sheet1!$G:$G, $I$8)&gt;0, 1, IF(COUNTIF(Sheet1!$H:$H, $I$8)&gt;0, 2, IF(COUNTIF(Sheet1!$I:$I, $I$8)&gt;0, 3, IF(COUNTIF(Sheet1!$J:$J, $I$8)&gt;0, 4, 0)))))), "")</f>
        <v/>
      </c>
    </row>
    <row r="433" spans="9:9" x14ac:dyDescent="0.25">
      <c r="I433" s="3" t="str" cm="1">
        <f t="array" ref="I433">IFERROR(IF(E433="", "", INDEX(Sheet1!$G:$J, MATCH(E433, Sheet1!$C:$C, 0), IF(COUNTIF(Sheet1!$G:$G, $I$8)&gt;0, 1, IF(COUNTIF(Sheet1!$H:$H, $I$8)&gt;0, 2, IF(COUNTIF(Sheet1!$I:$I, $I$8)&gt;0, 3, IF(COUNTIF(Sheet1!$J:$J, $I$8)&gt;0, 4, 0)))))), "")</f>
        <v/>
      </c>
    </row>
    <row r="434" spans="9:9" x14ac:dyDescent="0.25">
      <c r="I434" s="3" t="str" cm="1">
        <f t="array" ref="I434">IFERROR(IF(E434="", "", INDEX(Sheet1!$G:$J, MATCH(E434, Sheet1!$C:$C, 0), IF(COUNTIF(Sheet1!$G:$G, $I$8)&gt;0, 1, IF(COUNTIF(Sheet1!$H:$H, $I$8)&gt;0, 2, IF(COUNTIF(Sheet1!$I:$I, $I$8)&gt;0, 3, IF(COUNTIF(Sheet1!$J:$J, $I$8)&gt;0, 4, 0)))))), "")</f>
        <v/>
      </c>
    </row>
    <row r="435" spans="9:9" x14ac:dyDescent="0.25">
      <c r="I435" s="3" t="str" cm="1">
        <f t="array" ref="I435">IFERROR(IF(E435="", "", INDEX(Sheet1!$G:$J, MATCH(E435, Sheet1!$C:$C, 0), IF(COUNTIF(Sheet1!$G:$G, $I$8)&gt;0, 1, IF(COUNTIF(Sheet1!$H:$H, $I$8)&gt;0, 2, IF(COUNTIF(Sheet1!$I:$I, $I$8)&gt;0, 3, IF(COUNTIF(Sheet1!$J:$J, $I$8)&gt;0, 4, 0)))))), "")</f>
        <v/>
      </c>
    </row>
    <row r="436" spans="9:9" x14ac:dyDescent="0.25">
      <c r="I436" s="3" t="str" cm="1">
        <f t="array" ref="I436">IFERROR(IF(E436="", "", INDEX(Sheet1!$G:$J, MATCH(E436, Sheet1!$C:$C, 0), IF(COUNTIF(Sheet1!$G:$G, $I$8)&gt;0, 1, IF(COUNTIF(Sheet1!$H:$H, $I$8)&gt;0, 2, IF(COUNTIF(Sheet1!$I:$I, $I$8)&gt;0, 3, IF(COUNTIF(Sheet1!$J:$J, $I$8)&gt;0, 4, 0)))))), "")</f>
        <v/>
      </c>
    </row>
    <row r="437" spans="9:9" x14ac:dyDescent="0.25">
      <c r="I437" s="3" t="str" cm="1">
        <f t="array" ref="I437">IFERROR(IF(E437="", "", INDEX(Sheet1!$G:$J, MATCH(E437, Sheet1!$C:$C, 0), IF(COUNTIF(Sheet1!$G:$G, $I$8)&gt;0, 1, IF(COUNTIF(Sheet1!$H:$H, $I$8)&gt;0, 2, IF(COUNTIF(Sheet1!$I:$I, $I$8)&gt;0, 3, IF(COUNTIF(Sheet1!$J:$J, $I$8)&gt;0, 4, 0)))))), "")</f>
        <v/>
      </c>
    </row>
    <row r="438" spans="9:9" x14ac:dyDescent="0.25">
      <c r="I438" s="3" t="str" cm="1">
        <f t="array" ref="I438">IFERROR(IF(E438="", "", INDEX(Sheet1!$G:$J, MATCH(E438, Sheet1!$C:$C, 0), IF(COUNTIF(Sheet1!$G:$G, $I$8)&gt;0, 1, IF(COUNTIF(Sheet1!$H:$H, $I$8)&gt;0, 2, IF(COUNTIF(Sheet1!$I:$I, $I$8)&gt;0, 3, IF(COUNTIF(Sheet1!$J:$J, $I$8)&gt;0, 4, 0)))))), "")</f>
        <v/>
      </c>
    </row>
    <row r="439" spans="9:9" x14ac:dyDescent="0.25">
      <c r="I439" s="3" t="str" cm="1">
        <f t="array" ref="I439">IFERROR(IF(E439="", "", INDEX(Sheet1!$G:$J, MATCH(E439, Sheet1!$C:$C, 0), IF(COUNTIF(Sheet1!$G:$G, $I$8)&gt;0, 1, IF(COUNTIF(Sheet1!$H:$H, $I$8)&gt;0, 2, IF(COUNTIF(Sheet1!$I:$I, $I$8)&gt;0, 3, IF(COUNTIF(Sheet1!$J:$J, $I$8)&gt;0, 4, 0)))))), "")</f>
        <v/>
      </c>
    </row>
    <row r="440" spans="9:9" x14ac:dyDescent="0.25">
      <c r="I440" s="3" t="str" cm="1">
        <f t="array" ref="I440">IFERROR(IF(E440="", "", INDEX(Sheet1!$G:$J, MATCH(E440, Sheet1!$C:$C, 0), IF(COUNTIF(Sheet1!$G:$G, $I$8)&gt;0, 1, IF(COUNTIF(Sheet1!$H:$H, $I$8)&gt;0, 2, IF(COUNTIF(Sheet1!$I:$I, $I$8)&gt;0, 3, IF(COUNTIF(Sheet1!$J:$J, $I$8)&gt;0, 4, 0)))))), "")</f>
        <v/>
      </c>
    </row>
    <row r="441" spans="9:9" x14ac:dyDescent="0.25">
      <c r="I441" s="3" t="str" cm="1">
        <f t="array" ref="I441">IFERROR(IF(E441="", "", INDEX(Sheet1!$G:$J, MATCH(E441, Sheet1!$C:$C, 0), IF(COUNTIF(Sheet1!$G:$G, $I$8)&gt;0, 1, IF(COUNTIF(Sheet1!$H:$H, $I$8)&gt;0, 2, IF(COUNTIF(Sheet1!$I:$I, $I$8)&gt;0, 3, IF(COUNTIF(Sheet1!$J:$J, $I$8)&gt;0, 4, 0)))))), "")</f>
        <v/>
      </c>
    </row>
    <row r="442" spans="9:9" x14ac:dyDescent="0.25">
      <c r="I442" s="3" t="str" cm="1">
        <f t="array" ref="I442">IFERROR(IF(E442="", "", INDEX(Sheet1!$G:$J, MATCH(E442, Sheet1!$C:$C, 0), IF(COUNTIF(Sheet1!$G:$G, $I$8)&gt;0, 1, IF(COUNTIF(Sheet1!$H:$H, $I$8)&gt;0, 2, IF(COUNTIF(Sheet1!$I:$I, $I$8)&gt;0, 3, IF(COUNTIF(Sheet1!$J:$J, $I$8)&gt;0, 4, 0)))))), "")</f>
        <v/>
      </c>
    </row>
    <row r="443" spans="9:9" x14ac:dyDescent="0.25">
      <c r="I443" s="3" t="str" cm="1">
        <f t="array" ref="I443">IFERROR(IF(E443="", "", INDEX(Sheet1!$G:$J, MATCH(E443, Sheet1!$C:$C, 0), IF(COUNTIF(Sheet1!$G:$G, $I$8)&gt;0, 1, IF(COUNTIF(Sheet1!$H:$H, $I$8)&gt;0, 2, IF(COUNTIF(Sheet1!$I:$I, $I$8)&gt;0, 3, IF(COUNTIF(Sheet1!$J:$J, $I$8)&gt;0, 4, 0)))))), "")</f>
        <v/>
      </c>
    </row>
    <row r="444" spans="9:9" x14ac:dyDescent="0.25">
      <c r="I444" s="3" t="str" cm="1">
        <f t="array" ref="I444">IFERROR(IF(E444="", "", INDEX(Sheet1!$G:$J, MATCH(E444, Sheet1!$C:$C, 0), IF(COUNTIF(Sheet1!$G:$G, $I$8)&gt;0, 1, IF(COUNTIF(Sheet1!$H:$H, $I$8)&gt;0, 2, IF(COUNTIF(Sheet1!$I:$I, $I$8)&gt;0, 3, IF(COUNTIF(Sheet1!$J:$J, $I$8)&gt;0, 4, 0)))))), "")</f>
        <v/>
      </c>
    </row>
    <row r="445" spans="9:9" x14ac:dyDescent="0.25">
      <c r="I445" s="3" t="str" cm="1">
        <f t="array" ref="I445">IFERROR(IF(E445="", "", INDEX(Sheet1!$G:$J, MATCH(E445, Sheet1!$C:$C, 0), IF(COUNTIF(Sheet1!$G:$G, $I$8)&gt;0, 1, IF(COUNTIF(Sheet1!$H:$H, $I$8)&gt;0, 2, IF(COUNTIF(Sheet1!$I:$I, $I$8)&gt;0, 3, IF(COUNTIF(Sheet1!$J:$J, $I$8)&gt;0, 4, 0)))))), "")</f>
        <v/>
      </c>
    </row>
    <row r="446" spans="9:9" x14ac:dyDescent="0.25">
      <c r="I446" s="3" t="str" cm="1">
        <f t="array" ref="I446">IFERROR(IF(E446="", "", INDEX(Sheet1!$G:$J, MATCH(E446, Sheet1!$C:$C, 0), IF(COUNTIF(Sheet1!$G:$G, $I$8)&gt;0, 1, IF(COUNTIF(Sheet1!$H:$H, $I$8)&gt;0, 2, IF(COUNTIF(Sheet1!$I:$I, $I$8)&gt;0, 3, IF(COUNTIF(Sheet1!$J:$J, $I$8)&gt;0, 4, 0)))))), "")</f>
        <v/>
      </c>
    </row>
    <row r="447" spans="9:9" x14ac:dyDescent="0.25">
      <c r="I447" s="3" t="str" cm="1">
        <f t="array" ref="I447">IFERROR(IF(E447="", "", INDEX(Sheet1!$G:$J, MATCH(E447, Sheet1!$C:$C, 0), IF(COUNTIF(Sheet1!$G:$G, $I$8)&gt;0, 1, IF(COUNTIF(Sheet1!$H:$H, $I$8)&gt;0, 2, IF(COUNTIF(Sheet1!$I:$I, $I$8)&gt;0, 3, IF(COUNTIF(Sheet1!$J:$J, $I$8)&gt;0, 4, 0)))))), "")</f>
        <v/>
      </c>
    </row>
    <row r="448" spans="9:9" x14ac:dyDescent="0.25">
      <c r="I448" s="3" t="str" cm="1">
        <f t="array" ref="I448">IFERROR(IF(E448="", "", INDEX(Sheet1!$G:$J, MATCH(E448, Sheet1!$C:$C, 0), IF(COUNTIF(Sheet1!$G:$G, $I$8)&gt;0, 1, IF(COUNTIF(Sheet1!$H:$H, $I$8)&gt;0, 2, IF(COUNTIF(Sheet1!$I:$I, $I$8)&gt;0, 3, IF(COUNTIF(Sheet1!$J:$J, $I$8)&gt;0, 4, 0)))))), "")</f>
        <v/>
      </c>
    </row>
    <row r="449" spans="9:9" x14ac:dyDescent="0.25">
      <c r="I449" s="3" t="str" cm="1">
        <f t="array" ref="I449">IFERROR(IF(E449="", "", INDEX(Sheet1!$G:$J, MATCH(E449, Sheet1!$C:$C, 0), IF(COUNTIF(Sheet1!$G:$G, $I$8)&gt;0, 1, IF(COUNTIF(Sheet1!$H:$H, $I$8)&gt;0, 2, IF(COUNTIF(Sheet1!$I:$I, $I$8)&gt;0, 3, IF(COUNTIF(Sheet1!$J:$J, $I$8)&gt;0, 4, 0)))))), "")</f>
        <v/>
      </c>
    </row>
    <row r="450" spans="9:9" x14ac:dyDescent="0.25">
      <c r="I450" s="3" t="str" cm="1">
        <f t="array" ref="I450">IFERROR(IF(E450="", "", INDEX(Sheet1!$G:$J, MATCH(E450, Sheet1!$C:$C, 0), IF(COUNTIF(Sheet1!$G:$G, $I$8)&gt;0, 1, IF(COUNTIF(Sheet1!$H:$H, $I$8)&gt;0, 2, IF(COUNTIF(Sheet1!$I:$I, $I$8)&gt;0, 3, IF(COUNTIF(Sheet1!$J:$J, $I$8)&gt;0, 4, 0)))))), "")</f>
        <v/>
      </c>
    </row>
    <row r="451" spans="9:9" x14ac:dyDescent="0.25">
      <c r="I451" s="3" t="str" cm="1">
        <f t="array" ref="I451">IFERROR(IF(E451="", "", INDEX(Sheet1!$G:$J, MATCH(E451, Sheet1!$C:$C, 0), IF(COUNTIF(Sheet1!$G:$G, $I$8)&gt;0, 1, IF(COUNTIF(Sheet1!$H:$H, $I$8)&gt;0, 2, IF(COUNTIF(Sheet1!$I:$I, $I$8)&gt;0, 3, IF(COUNTIF(Sheet1!$J:$J, $I$8)&gt;0, 4, 0)))))), "")</f>
        <v/>
      </c>
    </row>
    <row r="452" spans="9:9" x14ac:dyDescent="0.25">
      <c r="I452" s="3" t="str" cm="1">
        <f t="array" ref="I452">IFERROR(IF(E452="", "", INDEX(Sheet1!$G:$J, MATCH(E452, Sheet1!$C:$C, 0), IF(COUNTIF(Sheet1!$G:$G, $I$8)&gt;0, 1, IF(COUNTIF(Sheet1!$H:$H, $I$8)&gt;0, 2, IF(COUNTIF(Sheet1!$I:$I, $I$8)&gt;0, 3, IF(COUNTIF(Sheet1!$J:$J, $I$8)&gt;0, 4, 0)))))), "")</f>
        <v/>
      </c>
    </row>
    <row r="453" spans="9:9" x14ac:dyDescent="0.25">
      <c r="I453" s="3" t="str" cm="1">
        <f t="array" ref="I453">IFERROR(IF(E453="", "", INDEX(Sheet1!$G:$J, MATCH(E453, Sheet1!$C:$C, 0), IF(COUNTIF(Sheet1!$G:$G, $I$8)&gt;0, 1, IF(COUNTIF(Sheet1!$H:$H, $I$8)&gt;0, 2, IF(COUNTIF(Sheet1!$I:$I, $I$8)&gt;0, 3, IF(COUNTIF(Sheet1!$J:$J, $I$8)&gt;0, 4, 0)))))), "")</f>
        <v/>
      </c>
    </row>
    <row r="454" spans="9:9" x14ac:dyDescent="0.25">
      <c r="I454" s="3" t="str" cm="1">
        <f t="array" ref="I454">IFERROR(IF(E454="", "", INDEX(Sheet1!$G:$J, MATCH(E454, Sheet1!$C:$C, 0), IF(COUNTIF(Sheet1!$G:$G, $I$8)&gt;0, 1, IF(COUNTIF(Sheet1!$H:$H, $I$8)&gt;0, 2, IF(COUNTIF(Sheet1!$I:$I, $I$8)&gt;0, 3, IF(COUNTIF(Sheet1!$J:$J, $I$8)&gt;0, 4, 0)))))), "")</f>
        <v/>
      </c>
    </row>
    <row r="455" spans="9:9" x14ac:dyDescent="0.25">
      <c r="I455" s="3" t="str" cm="1">
        <f t="array" ref="I455">IFERROR(IF(E455="", "", INDEX(Sheet1!$G:$J, MATCH(E455, Sheet1!$C:$C, 0), IF(COUNTIF(Sheet1!$G:$G, $I$8)&gt;0, 1, IF(COUNTIF(Sheet1!$H:$H, $I$8)&gt;0, 2, IF(COUNTIF(Sheet1!$I:$I, $I$8)&gt;0, 3, IF(COUNTIF(Sheet1!$J:$J, $I$8)&gt;0, 4, 0)))))), "")</f>
        <v/>
      </c>
    </row>
    <row r="456" spans="9:9" x14ac:dyDescent="0.25">
      <c r="I456" s="3" t="str" cm="1">
        <f t="array" ref="I456">IFERROR(IF(E456="", "", INDEX(Sheet1!$G:$J, MATCH(E456, Sheet1!$C:$C, 0), IF(COUNTIF(Sheet1!$G:$G, $I$8)&gt;0, 1, IF(COUNTIF(Sheet1!$H:$H, $I$8)&gt;0, 2, IF(COUNTIF(Sheet1!$I:$I, $I$8)&gt;0, 3, IF(COUNTIF(Sheet1!$J:$J, $I$8)&gt;0, 4, 0)))))), "")</f>
        <v/>
      </c>
    </row>
    <row r="457" spans="9:9" x14ac:dyDescent="0.25">
      <c r="I457" s="3" t="str" cm="1">
        <f t="array" ref="I457">IFERROR(IF(E457="", "", INDEX(Sheet1!$G:$J, MATCH(E457, Sheet1!$C:$C, 0), IF(COUNTIF(Sheet1!$G:$G, $I$8)&gt;0, 1, IF(COUNTIF(Sheet1!$H:$H, $I$8)&gt;0, 2, IF(COUNTIF(Sheet1!$I:$I, $I$8)&gt;0, 3, IF(COUNTIF(Sheet1!$J:$J, $I$8)&gt;0, 4, 0)))))), "")</f>
        <v/>
      </c>
    </row>
    <row r="458" spans="9:9" x14ac:dyDescent="0.25">
      <c r="I458" s="3" t="str" cm="1">
        <f t="array" ref="I458">IFERROR(IF(E458="", "", INDEX(Sheet1!$G:$J, MATCH(E458, Sheet1!$C:$C, 0), IF(COUNTIF(Sheet1!$G:$G, $I$8)&gt;0, 1, IF(COUNTIF(Sheet1!$H:$H, $I$8)&gt;0, 2, IF(COUNTIF(Sheet1!$I:$I, $I$8)&gt;0, 3, IF(COUNTIF(Sheet1!$J:$J, $I$8)&gt;0, 4, 0)))))), "")</f>
        <v/>
      </c>
    </row>
    <row r="459" spans="9:9" x14ac:dyDescent="0.25">
      <c r="I459" s="3" t="str" cm="1">
        <f t="array" ref="I459">IFERROR(IF(E459="", "", INDEX(Sheet1!$G:$J, MATCH(E459, Sheet1!$C:$C, 0), IF(COUNTIF(Sheet1!$G:$G, $I$8)&gt;0, 1, IF(COUNTIF(Sheet1!$H:$H, $I$8)&gt;0, 2, IF(COUNTIF(Sheet1!$I:$I, $I$8)&gt;0, 3, IF(COUNTIF(Sheet1!$J:$J, $I$8)&gt;0, 4, 0)))))), "")</f>
        <v/>
      </c>
    </row>
    <row r="460" spans="9:9" x14ac:dyDescent="0.25">
      <c r="I460" s="3" t="str" cm="1">
        <f t="array" ref="I460">IFERROR(IF(E460="", "", INDEX(Sheet1!$G:$J, MATCH(E460, Sheet1!$C:$C, 0), IF(COUNTIF(Sheet1!$G:$G, $I$8)&gt;0, 1, IF(COUNTIF(Sheet1!$H:$H, $I$8)&gt;0, 2, IF(COUNTIF(Sheet1!$I:$I, $I$8)&gt;0, 3, IF(COUNTIF(Sheet1!$J:$J, $I$8)&gt;0, 4, 0)))))), "")</f>
        <v/>
      </c>
    </row>
    <row r="461" spans="9:9" x14ac:dyDescent="0.25">
      <c r="I461" s="3" t="str" cm="1">
        <f t="array" ref="I461">IFERROR(IF(E461="", "", INDEX(Sheet1!$G:$J, MATCH(E461, Sheet1!$C:$C, 0), IF(COUNTIF(Sheet1!$G:$G, $I$8)&gt;0, 1, IF(COUNTIF(Sheet1!$H:$H, $I$8)&gt;0, 2, IF(COUNTIF(Sheet1!$I:$I, $I$8)&gt;0, 3, IF(COUNTIF(Sheet1!$J:$J, $I$8)&gt;0, 4, 0)))))), "")</f>
        <v/>
      </c>
    </row>
    <row r="462" spans="9:9" x14ac:dyDescent="0.25">
      <c r="I462" s="3" t="str" cm="1">
        <f t="array" ref="I462">IFERROR(IF(E462="", "", INDEX(Sheet1!$G:$J, MATCH(E462, Sheet1!$C:$C, 0), IF(COUNTIF(Sheet1!$G:$G, $I$8)&gt;0, 1, IF(COUNTIF(Sheet1!$H:$H, $I$8)&gt;0, 2, IF(COUNTIF(Sheet1!$I:$I, $I$8)&gt;0, 3, IF(COUNTIF(Sheet1!$J:$J, $I$8)&gt;0, 4, 0)))))), "")</f>
        <v/>
      </c>
    </row>
    <row r="463" spans="9:9" x14ac:dyDescent="0.25">
      <c r="I463" s="3" t="str" cm="1">
        <f t="array" ref="I463">IFERROR(IF(E463="", "", INDEX(Sheet1!$G:$J, MATCH(E463, Sheet1!$C:$C, 0), IF(COUNTIF(Sheet1!$G:$G, $I$8)&gt;0, 1, IF(COUNTIF(Sheet1!$H:$H, $I$8)&gt;0, 2, IF(COUNTIF(Sheet1!$I:$I, $I$8)&gt;0, 3, IF(COUNTIF(Sheet1!$J:$J, $I$8)&gt;0, 4, 0)))))), "")</f>
        <v/>
      </c>
    </row>
    <row r="464" spans="9:9" x14ac:dyDescent="0.25">
      <c r="I464" s="3" t="str" cm="1">
        <f t="array" ref="I464">IFERROR(IF(E464="", "", INDEX(Sheet1!$G:$J, MATCH(E464, Sheet1!$C:$C, 0), IF(COUNTIF(Sheet1!$G:$G, $I$8)&gt;0, 1, IF(COUNTIF(Sheet1!$H:$H, $I$8)&gt;0, 2, IF(COUNTIF(Sheet1!$I:$I, $I$8)&gt;0, 3, IF(COUNTIF(Sheet1!$J:$J, $I$8)&gt;0, 4, 0)))))), "")</f>
        <v/>
      </c>
    </row>
    <row r="465" spans="9:9" x14ac:dyDescent="0.25">
      <c r="I465" s="3" t="str" cm="1">
        <f t="array" ref="I465">IFERROR(IF(E465="", "", INDEX(Sheet1!$G:$J, MATCH(E465, Sheet1!$C:$C, 0), IF(COUNTIF(Sheet1!$G:$G, $I$8)&gt;0, 1, IF(COUNTIF(Sheet1!$H:$H, $I$8)&gt;0, 2, IF(COUNTIF(Sheet1!$I:$I, $I$8)&gt;0, 3, IF(COUNTIF(Sheet1!$J:$J, $I$8)&gt;0, 4, 0)))))), "")</f>
        <v/>
      </c>
    </row>
    <row r="466" spans="9:9" x14ac:dyDescent="0.25">
      <c r="I466" s="3" t="str" cm="1">
        <f t="array" ref="I466">IFERROR(IF(E466="", "", INDEX(Sheet1!$G:$J, MATCH(E466, Sheet1!$C:$C, 0), IF(COUNTIF(Sheet1!$G:$G, $I$8)&gt;0, 1, IF(COUNTIF(Sheet1!$H:$H, $I$8)&gt;0, 2, IF(COUNTIF(Sheet1!$I:$I, $I$8)&gt;0, 3, IF(COUNTIF(Sheet1!$J:$J, $I$8)&gt;0, 4, 0)))))), "")</f>
        <v/>
      </c>
    </row>
    <row r="467" spans="9:9" x14ac:dyDescent="0.25">
      <c r="I467" s="3" t="str" cm="1">
        <f t="array" ref="I467">IFERROR(IF(E467="", "", INDEX(Sheet1!$G:$J, MATCH(E467, Sheet1!$C:$C, 0), IF(COUNTIF(Sheet1!$G:$G, $I$8)&gt;0, 1, IF(COUNTIF(Sheet1!$H:$H, $I$8)&gt;0, 2, IF(COUNTIF(Sheet1!$I:$I, $I$8)&gt;0, 3, IF(COUNTIF(Sheet1!$J:$J, $I$8)&gt;0, 4, 0)))))), "")</f>
        <v/>
      </c>
    </row>
    <row r="468" spans="9:9" x14ac:dyDescent="0.25">
      <c r="I468" s="3" t="str" cm="1">
        <f t="array" ref="I468">IFERROR(IF(E468="", "", INDEX(Sheet1!$G:$J, MATCH(E468, Sheet1!$C:$C, 0), IF(COUNTIF(Sheet1!$G:$G, $I$8)&gt;0, 1, IF(COUNTIF(Sheet1!$H:$H, $I$8)&gt;0, 2, IF(COUNTIF(Sheet1!$I:$I, $I$8)&gt;0, 3, IF(COUNTIF(Sheet1!$J:$J, $I$8)&gt;0, 4, 0)))))), "")</f>
        <v/>
      </c>
    </row>
    <row r="469" spans="9:9" x14ac:dyDescent="0.25">
      <c r="I469" s="3" t="str" cm="1">
        <f t="array" ref="I469">IFERROR(IF(E469="", "", INDEX(Sheet1!$G:$J, MATCH(E469, Sheet1!$C:$C, 0), IF(COUNTIF(Sheet1!$G:$G, $I$8)&gt;0, 1, IF(COUNTIF(Sheet1!$H:$H, $I$8)&gt;0, 2, IF(COUNTIF(Sheet1!$I:$I, $I$8)&gt;0, 3, IF(COUNTIF(Sheet1!$J:$J, $I$8)&gt;0, 4, 0)))))), "")</f>
        <v/>
      </c>
    </row>
    <row r="470" spans="9:9" x14ac:dyDescent="0.25">
      <c r="I470" s="3" t="str" cm="1">
        <f t="array" ref="I470">IFERROR(IF(E470="", "", INDEX(Sheet1!$G:$J, MATCH(E470, Sheet1!$C:$C, 0), IF(COUNTIF(Sheet1!$G:$G, $I$8)&gt;0, 1, IF(COUNTIF(Sheet1!$H:$H, $I$8)&gt;0, 2, IF(COUNTIF(Sheet1!$I:$I, $I$8)&gt;0, 3, IF(COUNTIF(Sheet1!$J:$J, $I$8)&gt;0, 4, 0)))))), "")</f>
        <v/>
      </c>
    </row>
    <row r="471" spans="9:9" x14ac:dyDescent="0.25">
      <c r="I471" s="3" t="str" cm="1">
        <f t="array" ref="I471">IFERROR(IF(E471="", "", INDEX(Sheet1!$G:$J, MATCH(E471, Sheet1!$C:$C, 0), IF(COUNTIF(Sheet1!$G:$G, $I$8)&gt;0, 1, IF(COUNTIF(Sheet1!$H:$H, $I$8)&gt;0, 2, IF(COUNTIF(Sheet1!$I:$I, $I$8)&gt;0, 3, IF(COUNTIF(Sheet1!$J:$J, $I$8)&gt;0, 4, 0)))))), "")</f>
        <v/>
      </c>
    </row>
    <row r="472" spans="9:9" x14ac:dyDescent="0.25">
      <c r="I472" s="3" t="str" cm="1">
        <f t="array" ref="I472">IFERROR(IF(E472="", "", INDEX(Sheet1!$G:$J, MATCH(E472, Sheet1!$C:$C, 0), IF(COUNTIF(Sheet1!$G:$G, $I$8)&gt;0, 1, IF(COUNTIF(Sheet1!$H:$H, $I$8)&gt;0, 2, IF(COUNTIF(Sheet1!$I:$I, $I$8)&gt;0, 3, IF(COUNTIF(Sheet1!$J:$J, $I$8)&gt;0, 4, 0)))))), "")</f>
        <v/>
      </c>
    </row>
    <row r="473" spans="9:9" x14ac:dyDescent="0.25">
      <c r="I473" s="3" t="str" cm="1">
        <f t="array" ref="I473">IFERROR(IF(E473="", "", INDEX(Sheet1!$G:$J, MATCH(E473, Sheet1!$C:$C, 0), IF(COUNTIF(Sheet1!$G:$G, $I$8)&gt;0, 1, IF(COUNTIF(Sheet1!$H:$H, $I$8)&gt;0, 2, IF(COUNTIF(Sheet1!$I:$I, $I$8)&gt;0, 3, IF(COUNTIF(Sheet1!$J:$J, $I$8)&gt;0, 4, 0)))))), "")</f>
        <v/>
      </c>
    </row>
    <row r="474" spans="9:9" x14ac:dyDescent="0.25">
      <c r="I474" s="3" t="str" cm="1">
        <f t="array" ref="I474">IFERROR(IF(E474="", "", INDEX(Sheet1!$G:$J, MATCH(E474, Sheet1!$C:$C, 0), IF(COUNTIF(Sheet1!$G:$G, $I$8)&gt;0, 1, IF(COUNTIF(Sheet1!$H:$H, $I$8)&gt;0, 2, IF(COUNTIF(Sheet1!$I:$I, $I$8)&gt;0, 3, IF(COUNTIF(Sheet1!$J:$J, $I$8)&gt;0, 4, 0)))))), "")</f>
        <v/>
      </c>
    </row>
    <row r="475" spans="9:9" x14ac:dyDescent="0.25">
      <c r="I475" s="3" t="str" cm="1">
        <f t="array" ref="I475">IFERROR(IF(E475="", "", INDEX(Sheet1!$G:$J, MATCH(E475, Sheet1!$C:$C, 0), IF(COUNTIF(Sheet1!$G:$G, $I$8)&gt;0, 1, IF(COUNTIF(Sheet1!$H:$H, $I$8)&gt;0, 2, IF(COUNTIF(Sheet1!$I:$I, $I$8)&gt;0, 3, IF(COUNTIF(Sheet1!$J:$J, $I$8)&gt;0, 4, 0)))))), "")</f>
        <v/>
      </c>
    </row>
    <row r="476" spans="9:9" x14ac:dyDescent="0.25">
      <c r="I476" s="3" t="str" cm="1">
        <f t="array" ref="I476">IFERROR(IF(E476="", "", INDEX(Sheet1!$G:$J, MATCH(E476, Sheet1!$C:$C, 0), IF(COUNTIF(Sheet1!$G:$G, $I$8)&gt;0, 1, IF(COUNTIF(Sheet1!$H:$H, $I$8)&gt;0, 2, IF(COUNTIF(Sheet1!$I:$I, $I$8)&gt;0, 3, IF(COUNTIF(Sheet1!$J:$J, $I$8)&gt;0, 4, 0)))))), "")</f>
        <v/>
      </c>
    </row>
    <row r="477" spans="9:9" x14ac:dyDescent="0.25">
      <c r="I477" s="3" t="str" cm="1">
        <f t="array" ref="I477">IFERROR(IF(E477="", "", INDEX(Sheet1!$G:$J, MATCH(E477, Sheet1!$C:$C, 0), IF(COUNTIF(Sheet1!$G:$G, $I$8)&gt;0, 1, IF(COUNTIF(Sheet1!$H:$H, $I$8)&gt;0, 2, IF(COUNTIF(Sheet1!$I:$I, $I$8)&gt;0, 3, IF(COUNTIF(Sheet1!$J:$J, $I$8)&gt;0, 4, 0)))))), "")</f>
        <v/>
      </c>
    </row>
    <row r="478" spans="9:9" x14ac:dyDescent="0.25">
      <c r="I478" s="3" t="str" cm="1">
        <f t="array" ref="I478">IFERROR(IF(E478="", "", INDEX(Sheet1!$G:$J, MATCH(E478, Sheet1!$C:$C, 0), IF(COUNTIF(Sheet1!$G:$G, $I$8)&gt;0, 1, IF(COUNTIF(Sheet1!$H:$H, $I$8)&gt;0, 2, IF(COUNTIF(Sheet1!$I:$I, $I$8)&gt;0, 3, IF(COUNTIF(Sheet1!$J:$J, $I$8)&gt;0, 4, 0)))))), "")</f>
        <v/>
      </c>
    </row>
    <row r="479" spans="9:9" x14ac:dyDescent="0.25">
      <c r="I479" s="3" t="str" cm="1">
        <f t="array" ref="I479">IFERROR(IF(E479="", "", INDEX(Sheet1!$G:$J, MATCH(E479, Sheet1!$C:$C, 0), IF(COUNTIF(Sheet1!$G:$G, $I$8)&gt;0, 1, IF(COUNTIF(Sheet1!$H:$H, $I$8)&gt;0, 2, IF(COUNTIF(Sheet1!$I:$I, $I$8)&gt;0, 3, IF(COUNTIF(Sheet1!$J:$J, $I$8)&gt;0, 4, 0)))))), "")</f>
        <v/>
      </c>
    </row>
    <row r="480" spans="9:9" x14ac:dyDescent="0.25">
      <c r="I480" s="3" t="str" cm="1">
        <f t="array" ref="I480">IFERROR(IF(E480="", "", INDEX(Sheet1!$G:$J, MATCH(E480, Sheet1!$C:$C, 0), IF(COUNTIF(Sheet1!$G:$G, $I$8)&gt;0, 1, IF(COUNTIF(Sheet1!$H:$H, $I$8)&gt;0, 2, IF(COUNTIF(Sheet1!$I:$I, $I$8)&gt;0, 3, IF(COUNTIF(Sheet1!$J:$J, $I$8)&gt;0, 4, 0)))))), "")</f>
        <v/>
      </c>
    </row>
    <row r="481" spans="9:9" x14ac:dyDescent="0.25">
      <c r="I481" s="3" t="str" cm="1">
        <f t="array" ref="I481">IFERROR(IF(E481="", "", INDEX(Sheet1!$G:$J, MATCH(E481, Sheet1!$C:$C, 0), IF(COUNTIF(Sheet1!$G:$G, $I$8)&gt;0, 1, IF(COUNTIF(Sheet1!$H:$H, $I$8)&gt;0, 2, IF(COUNTIF(Sheet1!$I:$I, $I$8)&gt;0, 3, IF(COUNTIF(Sheet1!$J:$J, $I$8)&gt;0, 4, 0)))))), "")</f>
        <v/>
      </c>
    </row>
    <row r="482" spans="9:9" x14ac:dyDescent="0.25">
      <c r="I482" s="3" t="str" cm="1">
        <f t="array" ref="I482">IFERROR(IF(E482="", "", INDEX(Sheet1!$G:$J, MATCH(E482, Sheet1!$C:$C, 0), IF(COUNTIF(Sheet1!$G:$G, $I$8)&gt;0, 1, IF(COUNTIF(Sheet1!$H:$H, $I$8)&gt;0, 2, IF(COUNTIF(Sheet1!$I:$I, $I$8)&gt;0, 3, IF(COUNTIF(Sheet1!$J:$J, $I$8)&gt;0, 4, 0)))))), "")</f>
        <v/>
      </c>
    </row>
    <row r="483" spans="9:9" x14ac:dyDescent="0.25">
      <c r="I483" s="3" t="str" cm="1">
        <f t="array" ref="I483">IFERROR(IF(E483="", "", INDEX(Sheet1!$G:$J, MATCH(E483, Sheet1!$C:$C, 0), IF(COUNTIF(Sheet1!$G:$G, $I$8)&gt;0, 1, IF(COUNTIF(Sheet1!$H:$H, $I$8)&gt;0, 2, IF(COUNTIF(Sheet1!$I:$I, $I$8)&gt;0, 3, IF(COUNTIF(Sheet1!$J:$J, $I$8)&gt;0, 4, 0)))))), "")</f>
        <v/>
      </c>
    </row>
    <row r="484" spans="9:9" x14ac:dyDescent="0.25">
      <c r="I484" s="3" t="str" cm="1">
        <f t="array" ref="I484">IFERROR(IF(E484="", "", INDEX(Sheet1!$G:$J, MATCH(E484, Sheet1!$C:$C, 0), IF(COUNTIF(Sheet1!$G:$G, $I$8)&gt;0, 1, IF(COUNTIF(Sheet1!$H:$H, $I$8)&gt;0, 2, IF(COUNTIF(Sheet1!$I:$I, $I$8)&gt;0, 3, IF(COUNTIF(Sheet1!$J:$J, $I$8)&gt;0, 4, 0)))))), "")</f>
        <v/>
      </c>
    </row>
    <row r="485" spans="9:9" x14ac:dyDescent="0.25">
      <c r="I485" s="3" t="str" cm="1">
        <f t="array" ref="I485">IFERROR(IF(E485="", "", INDEX(Sheet1!$G:$J, MATCH(E485, Sheet1!$C:$C, 0), IF(COUNTIF(Sheet1!$G:$G, $I$8)&gt;0, 1, IF(COUNTIF(Sheet1!$H:$H, $I$8)&gt;0, 2, IF(COUNTIF(Sheet1!$I:$I, $I$8)&gt;0, 3, IF(COUNTIF(Sheet1!$J:$J, $I$8)&gt;0, 4, 0)))))), "")</f>
        <v/>
      </c>
    </row>
    <row r="486" spans="9:9" x14ac:dyDescent="0.25">
      <c r="I486" s="3" t="str" cm="1">
        <f t="array" ref="I486">IFERROR(IF(E486="", "", INDEX(Sheet1!$G:$J, MATCH(E486, Sheet1!$C:$C, 0), IF(COUNTIF(Sheet1!$G:$G, $I$8)&gt;0, 1, IF(COUNTIF(Sheet1!$H:$H, $I$8)&gt;0, 2, IF(COUNTIF(Sheet1!$I:$I, $I$8)&gt;0, 3, IF(COUNTIF(Sheet1!$J:$J, $I$8)&gt;0, 4, 0)))))), "")</f>
        <v/>
      </c>
    </row>
    <row r="487" spans="9:9" x14ac:dyDescent="0.25">
      <c r="I487" s="3" t="str" cm="1">
        <f t="array" ref="I487">IFERROR(IF(E487="", "", INDEX(Sheet1!$G:$J, MATCH(E487, Sheet1!$C:$C, 0), IF(COUNTIF(Sheet1!$G:$G, $I$8)&gt;0, 1, IF(COUNTIF(Sheet1!$H:$H, $I$8)&gt;0, 2, IF(COUNTIF(Sheet1!$I:$I, $I$8)&gt;0, 3, IF(COUNTIF(Sheet1!$J:$J, $I$8)&gt;0, 4, 0)))))), "")</f>
        <v/>
      </c>
    </row>
    <row r="488" spans="9:9" x14ac:dyDescent="0.25">
      <c r="I488" s="3" t="str" cm="1">
        <f t="array" ref="I488">IFERROR(IF(E488="", "", INDEX(Sheet1!$G:$J, MATCH(E488, Sheet1!$C:$C, 0), IF(COUNTIF(Sheet1!$G:$G, $I$8)&gt;0, 1, IF(COUNTIF(Sheet1!$H:$H, $I$8)&gt;0, 2, IF(COUNTIF(Sheet1!$I:$I, $I$8)&gt;0, 3, IF(COUNTIF(Sheet1!$J:$J, $I$8)&gt;0, 4, 0)))))), "")</f>
        <v/>
      </c>
    </row>
    <row r="489" spans="9:9" x14ac:dyDescent="0.25">
      <c r="I489" s="3" t="str" cm="1">
        <f t="array" ref="I489">IFERROR(IF(E489="", "", INDEX(Sheet1!$G:$J, MATCH(E489, Sheet1!$C:$C, 0), IF(COUNTIF(Sheet1!$G:$G, $I$8)&gt;0, 1, IF(COUNTIF(Sheet1!$H:$H, $I$8)&gt;0, 2, IF(COUNTIF(Sheet1!$I:$I, $I$8)&gt;0, 3, IF(COUNTIF(Sheet1!$J:$J, $I$8)&gt;0, 4, 0)))))), "")</f>
        <v/>
      </c>
    </row>
    <row r="490" spans="9:9" x14ac:dyDescent="0.25">
      <c r="I490" s="3" t="str" cm="1">
        <f t="array" ref="I490">IFERROR(IF(E490="", "", INDEX(Sheet1!$G:$J, MATCH(E490, Sheet1!$C:$C, 0), IF(COUNTIF(Sheet1!$G:$G, $I$8)&gt;0, 1, IF(COUNTIF(Sheet1!$H:$H, $I$8)&gt;0, 2, IF(COUNTIF(Sheet1!$I:$I, $I$8)&gt;0, 3, IF(COUNTIF(Sheet1!$J:$J, $I$8)&gt;0, 4, 0)))))), "")</f>
        <v/>
      </c>
    </row>
    <row r="491" spans="9:9" x14ac:dyDescent="0.25">
      <c r="I491" s="3" t="str" cm="1">
        <f t="array" ref="I491">IFERROR(IF(E491="", "", INDEX(Sheet1!$G:$J, MATCH(E491, Sheet1!$C:$C, 0), IF(COUNTIF(Sheet1!$G:$G, $I$8)&gt;0, 1, IF(COUNTIF(Sheet1!$H:$H, $I$8)&gt;0, 2, IF(COUNTIF(Sheet1!$I:$I, $I$8)&gt;0, 3, IF(COUNTIF(Sheet1!$J:$J, $I$8)&gt;0, 4, 0)))))), "")</f>
        <v/>
      </c>
    </row>
    <row r="492" spans="9:9" x14ac:dyDescent="0.25">
      <c r="I492" s="3" t="str" cm="1">
        <f t="array" ref="I492">IFERROR(IF(E492="", "", INDEX(Sheet1!$G:$J, MATCH(E492, Sheet1!$C:$C, 0), IF(COUNTIF(Sheet1!$G:$G, $I$8)&gt;0, 1, IF(COUNTIF(Sheet1!$H:$H, $I$8)&gt;0, 2, IF(COUNTIF(Sheet1!$I:$I, $I$8)&gt;0, 3, IF(COUNTIF(Sheet1!$J:$J, $I$8)&gt;0, 4, 0)))))), "")</f>
        <v/>
      </c>
    </row>
    <row r="493" spans="9:9" x14ac:dyDescent="0.25">
      <c r="I493" s="3" t="str" cm="1">
        <f t="array" ref="I493">IFERROR(IF(E493="", "", INDEX(Sheet1!$G:$J, MATCH(E493, Sheet1!$C:$C, 0), IF(COUNTIF(Sheet1!$G:$G, $I$8)&gt;0, 1, IF(COUNTIF(Sheet1!$H:$H, $I$8)&gt;0, 2, IF(COUNTIF(Sheet1!$I:$I, $I$8)&gt;0, 3, IF(COUNTIF(Sheet1!$J:$J, $I$8)&gt;0, 4, 0)))))), "")</f>
        <v/>
      </c>
    </row>
    <row r="494" spans="9:9" x14ac:dyDescent="0.25">
      <c r="I494" s="3" t="str" cm="1">
        <f t="array" ref="I494">IFERROR(IF(E494="", "", INDEX(Sheet1!$G:$J, MATCH(E494, Sheet1!$C:$C, 0), IF(COUNTIF(Sheet1!$G:$G, $I$8)&gt;0, 1, IF(COUNTIF(Sheet1!$H:$H, $I$8)&gt;0, 2, IF(COUNTIF(Sheet1!$I:$I, $I$8)&gt;0, 3, IF(COUNTIF(Sheet1!$J:$J, $I$8)&gt;0, 4, 0)))))), "")</f>
        <v/>
      </c>
    </row>
    <row r="495" spans="9:9" x14ac:dyDescent="0.25">
      <c r="I495" s="3" t="str" cm="1">
        <f t="array" ref="I495">IFERROR(IF(E495="", "", INDEX(Sheet1!$G:$J, MATCH(E495, Sheet1!$C:$C, 0), IF(COUNTIF(Sheet1!$G:$G, $I$8)&gt;0, 1, IF(COUNTIF(Sheet1!$H:$H, $I$8)&gt;0, 2, IF(COUNTIF(Sheet1!$I:$I, $I$8)&gt;0, 3, IF(COUNTIF(Sheet1!$J:$J, $I$8)&gt;0, 4, 0)))))), "")</f>
        <v/>
      </c>
    </row>
    <row r="496" spans="9:9" x14ac:dyDescent="0.25">
      <c r="I496" s="3" t="str" cm="1">
        <f t="array" ref="I496">IFERROR(IF(E496="", "", INDEX(Sheet1!$G:$J, MATCH(E496, Sheet1!$C:$C, 0), IF(COUNTIF(Sheet1!$G:$G, $I$8)&gt;0, 1, IF(COUNTIF(Sheet1!$H:$H, $I$8)&gt;0, 2, IF(COUNTIF(Sheet1!$I:$I, $I$8)&gt;0, 3, IF(COUNTIF(Sheet1!$J:$J, $I$8)&gt;0, 4, 0)))))), "")</f>
        <v/>
      </c>
    </row>
    <row r="497" spans="9:9" x14ac:dyDescent="0.25">
      <c r="I497" s="3" t="str" cm="1">
        <f t="array" ref="I497">IFERROR(IF(E497="", "", INDEX(Sheet1!$G:$J, MATCH(E497, Sheet1!$C:$C, 0), IF(COUNTIF(Sheet1!$G:$G, $I$8)&gt;0, 1, IF(COUNTIF(Sheet1!$H:$H, $I$8)&gt;0, 2, IF(COUNTIF(Sheet1!$I:$I, $I$8)&gt;0, 3, IF(COUNTIF(Sheet1!$J:$J, $I$8)&gt;0, 4, 0)))))), "")</f>
        <v/>
      </c>
    </row>
    <row r="498" spans="9:9" x14ac:dyDescent="0.25">
      <c r="I498" s="3" t="str" cm="1">
        <f t="array" ref="I498">IFERROR(IF(E498="", "", INDEX(Sheet1!$G:$J, MATCH(E498, Sheet1!$C:$C, 0), IF(COUNTIF(Sheet1!$G:$G, $I$8)&gt;0, 1, IF(COUNTIF(Sheet1!$H:$H, $I$8)&gt;0, 2, IF(COUNTIF(Sheet1!$I:$I, $I$8)&gt;0, 3, IF(COUNTIF(Sheet1!$J:$J, $I$8)&gt;0, 4, 0)))))), "")</f>
        <v/>
      </c>
    </row>
    <row r="499" spans="9:9" x14ac:dyDescent="0.25">
      <c r="I499" s="3" t="str" cm="1">
        <f t="array" ref="I499">IFERROR(IF(E499="", "", INDEX(Sheet1!$G:$J, MATCH(E499, Sheet1!$C:$C, 0), IF(COUNTIF(Sheet1!$G:$G, $I$8)&gt;0, 1, IF(COUNTIF(Sheet1!$H:$H, $I$8)&gt;0, 2, IF(COUNTIF(Sheet1!$I:$I, $I$8)&gt;0, 3, IF(COUNTIF(Sheet1!$J:$J, $I$8)&gt;0, 4, 0)))))), "")</f>
        <v/>
      </c>
    </row>
    <row r="500" spans="9:9" x14ac:dyDescent="0.25">
      <c r="I500" s="3" t="str" cm="1">
        <f t="array" ref="I500">IFERROR(IF(E500="", "", INDEX(Sheet1!$G:$J, MATCH(E500, Sheet1!$C:$C, 0), IF(COUNTIF(Sheet1!$G:$G, $I$8)&gt;0, 1, IF(COUNTIF(Sheet1!$H:$H, $I$8)&gt;0, 2, IF(COUNTIF(Sheet1!$I:$I, $I$8)&gt;0, 3, IF(COUNTIF(Sheet1!$J:$J, $I$8)&gt;0, 4, 0)))))), "")</f>
        <v/>
      </c>
    </row>
    <row r="501" spans="9:9" x14ac:dyDescent="0.25">
      <c r="I501" s="3" t="str" cm="1">
        <f t="array" ref="I501">IFERROR(IF(E501="", "", INDEX(Sheet1!$G:$J, MATCH(E501, Sheet1!$C:$C, 0), IF(COUNTIF(Sheet1!$G:$G, $I$8)&gt;0, 1, IF(COUNTIF(Sheet1!$H:$H, $I$8)&gt;0, 2, IF(COUNTIF(Sheet1!$I:$I, $I$8)&gt;0, 3, IF(COUNTIF(Sheet1!$J:$J, $I$8)&gt;0, 4, 0)))))), "")</f>
        <v/>
      </c>
    </row>
    <row r="502" spans="9:9" x14ac:dyDescent="0.25">
      <c r="I502" s="3" t="str" cm="1">
        <f t="array" ref="I502">IFERROR(IF(E502="", "", INDEX(Sheet1!$G:$J, MATCH(E502, Sheet1!$C:$C, 0), IF(COUNTIF(Sheet1!$G:$G, $I$8)&gt;0, 1, IF(COUNTIF(Sheet1!$H:$H, $I$8)&gt;0, 2, IF(COUNTIF(Sheet1!$I:$I, $I$8)&gt;0, 3, IF(COUNTIF(Sheet1!$J:$J, $I$8)&gt;0, 4, 0)))))), "")</f>
        <v/>
      </c>
    </row>
    <row r="503" spans="9:9" x14ac:dyDescent="0.25">
      <c r="I503" s="3" t="str" cm="1">
        <f t="array" ref="I503">IFERROR(IF(E503="", "", INDEX(Sheet1!$G:$J, MATCH(E503, Sheet1!$C:$C, 0), IF(COUNTIF(Sheet1!$G:$G, $I$8)&gt;0, 1, IF(COUNTIF(Sheet1!$H:$H, $I$8)&gt;0, 2, IF(COUNTIF(Sheet1!$I:$I, $I$8)&gt;0, 3, IF(COUNTIF(Sheet1!$J:$J, $I$8)&gt;0, 4, 0)))))), "")</f>
        <v/>
      </c>
    </row>
    <row r="504" spans="9:9" x14ac:dyDescent="0.25">
      <c r="I504" s="3" t="str" cm="1">
        <f t="array" ref="I504">IFERROR(IF(E504="", "", INDEX(Sheet1!$G:$J, MATCH(E504, Sheet1!$C:$C, 0), IF(COUNTIF(Sheet1!$G:$G, $I$8)&gt;0, 1, IF(COUNTIF(Sheet1!$H:$H, $I$8)&gt;0, 2, IF(COUNTIF(Sheet1!$I:$I, $I$8)&gt;0, 3, IF(COUNTIF(Sheet1!$J:$J, $I$8)&gt;0, 4, 0)))))), "")</f>
        <v/>
      </c>
    </row>
    <row r="505" spans="9:9" x14ac:dyDescent="0.25">
      <c r="I505" s="3" t="str" cm="1">
        <f t="array" ref="I505">IFERROR(IF(E505="", "", INDEX(Sheet1!$G:$J, MATCH(E505, Sheet1!$C:$C, 0), IF(COUNTIF(Sheet1!$G:$G, $I$8)&gt;0, 1, IF(COUNTIF(Sheet1!$H:$H, $I$8)&gt;0, 2, IF(COUNTIF(Sheet1!$I:$I, $I$8)&gt;0, 3, IF(COUNTIF(Sheet1!$J:$J, $I$8)&gt;0, 4, 0)))))), "")</f>
        <v/>
      </c>
    </row>
    <row r="506" spans="9:9" x14ac:dyDescent="0.25">
      <c r="I506" s="3" t="str" cm="1">
        <f t="array" ref="I506">IFERROR(IF(E506="", "", INDEX(Sheet1!$G:$J, MATCH(E506, Sheet1!$C:$C, 0), IF(COUNTIF(Sheet1!$G:$G, $I$8)&gt;0, 1, IF(COUNTIF(Sheet1!$H:$H, $I$8)&gt;0, 2, IF(COUNTIF(Sheet1!$I:$I, $I$8)&gt;0, 3, IF(COUNTIF(Sheet1!$J:$J, $I$8)&gt;0, 4, 0)))))), "")</f>
        <v/>
      </c>
    </row>
    <row r="507" spans="9:9" x14ac:dyDescent="0.25">
      <c r="I507" s="3" t="str" cm="1">
        <f t="array" ref="I507">IFERROR(IF(E507="", "", INDEX(Sheet1!$G:$J, MATCH(E507, Sheet1!$C:$C, 0), IF(COUNTIF(Sheet1!$G:$G, $I$8)&gt;0, 1, IF(COUNTIF(Sheet1!$H:$H, $I$8)&gt;0, 2, IF(COUNTIF(Sheet1!$I:$I, $I$8)&gt;0, 3, IF(COUNTIF(Sheet1!$J:$J, $I$8)&gt;0, 4, 0)))))), "")</f>
        <v/>
      </c>
    </row>
    <row r="508" spans="9:9" x14ac:dyDescent="0.25">
      <c r="I508" s="3" t="str" cm="1">
        <f t="array" ref="I508">IFERROR(IF(E508="", "", INDEX(Sheet1!$G:$J, MATCH(E508, Sheet1!$C:$C, 0), IF(COUNTIF(Sheet1!$G:$G, $I$8)&gt;0, 1, IF(COUNTIF(Sheet1!$H:$H, $I$8)&gt;0, 2, IF(COUNTIF(Sheet1!$I:$I, $I$8)&gt;0, 3, IF(COUNTIF(Sheet1!$J:$J, $I$8)&gt;0, 4, 0)))))), "")</f>
        <v/>
      </c>
    </row>
    <row r="509" spans="9:9" x14ac:dyDescent="0.25">
      <c r="I509" s="3" t="str" cm="1">
        <f t="array" ref="I509">IFERROR(IF(E509="", "", INDEX(Sheet1!$G:$J, MATCH(E509, Sheet1!$C:$C, 0), IF(COUNTIF(Sheet1!$G:$G, $I$8)&gt;0, 1, IF(COUNTIF(Sheet1!$H:$H, $I$8)&gt;0, 2, IF(COUNTIF(Sheet1!$I:$I, $I$8)&gt;0, 3, IF(COUNTIF(Sheet1!$J:$J, $I$8)&gt;0, 4, 0)))))), "")</f>
        <v/>
      </c>
    </row>
    <row r="510" spans="9:9" x14ac:dyDescent="0.25">
      <c r="I510" s="3" t="str" cm="1">
        <f t="array" ref="I510">IFERROR(IF(E510="", "", INDEX(Sheet1!$G:$J, MATCH(E510, Sheet1!$C:$C, 0), IF(COUNTIF(Sheet1!$G:$G, $I$8)&gt;0, 1, IF(COUNTIF(Sheet1!$H:$H, $I$8)&gt;0, 2, IF(COUNTIF(Sheet1!$I:$I, $I$8)&gt;0, 3, IF(COUNTIF(Sheet1!$J:$J, $I$8)&gt;0, 4, 0)))))), "")</f>
        <v/>
      </c>
    </row>
    <row r="511" spans="9:9" x14ac:dyDescent="0.25">
      <c r="I511" s="3" t="str" cm="1">
        <f t="array" ref="I511">IFERROR(IF(E511="", "", INDEX(Sheet1!$G:$J, MATCH(E511, Sheet1!$C:$C, 0), IF(COUNTIF(Sheet1!$G:$G, $I$8)&gt;0, 1, IF(COUNTIF(Sheet1!$H:$H, $I$8)&gt;0, 2, IF(COUNTIF(Sheet1!$I:$I, $I$8)&gt;0, 3, IF(COUNTIF(Sheet1!$J:$J, $I$8)&gt;0, 4, 0)))))), "")</f>
        <v/>
      </c>
    </row>
    <row r="512" spans="9:9" x14ac:dyDescent="0.25">
      <c r="I512" s="3" t="str" cm="1">
        <f t="array" ref="I512">IFERROR(IF(E512="", "", INDEX(Sheet1!$G:$J, MATCH(E512, Sheet1!$C:$C, 0), IF(COUNTIF(Sheet1!$G:$G, $I$8)&gt;0, 1, IF(COUNTIF(Sheet1!$H:$H, $I$8)&gt;0, 2, IF(COUNTIF(Sheet1!$I:$I, $I$8)&gt;0, 3, IF(COUNTIF(Sheet1!$J:$J, $I$8)&gt;0, 4, 0)))))), "")</f>
        <v/>
      </c>
    </row>
    <row r="513" spans="9:9" x14ac:dyDescent="0.25">
      <c r="I513" s="3" t="str" cm="1">
        <f t="array" ref="I513">IFERROR(IF(E513="", "", INDEX(Sheet1!$G:$J, MATCH(E513, Sheet1!$C:$C, 0), IF(COUNTIF(Sheet1!$G:$G, $I$8)&gt;0, 1, IF(COUNTIF(Sheet1!$H:$H, $I$8)&gt;0, 2, IF(COUNTIF(Sheet1!$I:$I, $I$8)&gt;0, 3, IF(COUNTIF(Sheet1!$J:$J, $I$8)&gt;0, 4, 0)))))), "")</f>
        <v/>
      </c>
    </row>
    <row r="514" spans="9:9" x14ac:dyDescent="0.25">
      <c r="I514" s="3" t="str" cm="1">
        <f t="array" ref="I514">IFERROR(IF(E514="", "", INDEX(Sheet1!$G:$J, MATCH(E514, Sheet1!$C:$C, 0), IF(COUNTIF(Sheet1!$G:$G, $I$8)&gt;0, 1, IF(COUNTIF(Sheet1!$H:$H, $I$8)&gt;0, 2, IF(COUNTIF(Sheet1!$I:$I, $I$8)&gt;0, 3, IF(COUNTIF(Sheet1!$J:$J, $I$8)&gt;0, 4, 0)))))), "")</f>
        <v/>
      </c>
    </row>
    <row r="515" spans="9:9" x14ac:dyDescent="0.25">
      <c r="I515" s="3" t="str" cm="1">
        <f t="array" ref="I515">IFERROR(IF(E515="", "", INDEX(Sheet1!$G:$J, MATCH(E515, Sheet1!$C:$C, 0), IF(COUNTIF(Sheet1!$G:$G, $I$8)&gt;0, 1, IF(COUNTIF(Sheet1!$H:$H, $I$8)&gt;0, 2, IF(COUNTIF(Sheet1!$I:$I, $I$8)&gt;0, 3, IF(COUNTIF(Sheet1!$J:$J, $I$8)&gt;0, 4, 0)))))), "")</f>
        <v/>
      </c>
    </row>
    <row r="516" spans="9:9" x14ac:dyDescent="0.25">
      <c r="I516" s="3" t="str" cm="1">
        <f t="array" ref="I516">IFERROR(IF(E516="", "", INDEX(Sheet1!$G:$J, MATCH(E516, Sheet1!$C:$C, 0), IF(COUNTIF(Sheet1!$G:$G, $I$8)&gt;0, 1, IF(COUNTIF(Sheet1!$H:$H, $I$8)&gt;0, 2, IF(COUNTIF(Sheet1!$I:$I, $I$8)&gt;0, 3, IF(COUNTIF(Sheet1!$J:$J, $I$8)&gt;0, 4, 0)))))), "")</f>
        <v/>
      </c>
    </row>
    <row r="517" spans="9:9" x14ac:dyDescent="0.25">
      <c r="I517" s="3" t="str" cm="1">
        <f t="array" ref="I517">IFERROR(IF(E517="", "", INDEX(Sheet1!$G:$J, MATCH(E517, Sheet1!$C:$C, 0), IF(COUNTIF(Sheet1!$G:$G, $I$8)&gt;0, 1, IF(COUNTIF(Sheet1!$H:$H, $I$8)&gt;0, 2, IF(COUNTIF(Sheet1!$I:$I, $I$8)&gt;0, 3, IF(COUNTIF(Sheet1!$J:$J, $I$8)&gt;0, 4, 0)))))), "")</f>
        <v/>
      </c>
    </row>
    <row r="518" spans="9:9" x14ac:dyDescent="0.25">
      <c r="I518" s="3" t="str" cm="1">
        <f t="array" ref="I518">IFERROR(IF(E518="", "", INDEX(Sheet1!$G:$J, MATCH(E518, Sheet1!$C:$C, 0), IF(COUNTIF(Sheet1!$G:$G, $I$8)&gt;0, 1, IF(COUNTIF(Sheet1!$H:$H, $I$8)&gt;0, 2, IF(COUNTIF(Sheet1!$I:$I, $I$8)&gt;0, 3, IF(COUNTIF(Sheet1!$J:$J, $I$8)&gt;0, 4, 0)))))), "")</f>
        <v/>
      </c>
    </row>
    <row r="519" spans="9:9" x14ac:dyDescent="0.25">
      <c r="I519" s="3" t="str" cm="1">
        <f t="array" ref="I519">IFERROR(IF(E519="", "", INDEX(Sheet1!$G:$J, MATCH(E519, Sheet1!$C:$C, 0), IF(COUNTIF(Sheet1!$G:$G, $I$8)&gt;0, 1, IF(COUNTIF(Sheet1!$H:$H, $I$8)&gt;0, 2, IF(COUNTIF(Sheet1!$I:$I, $I$8)&gt;0, 3, IF(COUNTIF(Sheet1!$J:$J, $I$8)&gt;0, 4, 0)))))), "")</f>
        <v/>
      </c>
    </row>
    <row r="520" spans="9:9" x14ac:dyDescent="0.25">
      <c r="I520" s="3" t="str" cm="1">
        <f t="array" ref="I520">IFERROR(IF(E520="", "", INDEX(Sheet1!$G:$J, MATCH(E520, Sheet1!$C:$C, 0), IF(COUNTIF(Sheet1!$G:$G, $I$8)&gt;0, 1, IF(COUNTIF(Sheet1!$H:$H, $I$8)&gt;0, 2, IF(COUNTIF(Sheet1!$I:$I, $I$8)&gt;0, 3, IF(COUNTIF(Sheet1!$J:$J, $I$8)&gt;0, 4, 0)))))), "")</f>
        <v/>
      </c>
    </row>
    <row r="521" spans="9:9" x14ac:dyDescent="0.25">
      <c r="I521" s="3" t="str" cm="1">
        <f t="array" ref="I521">IFERROR(IF(E521="", "", INDEX(Sheet1!$G:$J, MATCH(E521, Sheet1!$C:$C, 0), IF(COUNTIF(Sheet1!$G:$G, $I$8)&gt;0, 1, IF(COUNTIF(Sheet1!$H:$H, $I$8)&gt;0, 2, IF(COUNTIF(Sheet1!$I:$I, $I$8)&gt;0, 3, IF(COUNTIF(Sheet1!$J:$J, $I$8)&gt;0, 4, 0)))))), "")</f>
        <v/>
      </c>
    </row>
    <row r="522" spans="9:9" x14ac:dyDescent="0.25">
      <c r="I522" s="3" t="str" cm="1">
        <f t="array" ref="I522">IFERROR(IF(E522="", "", INDEX(Sheet1!$G:$J, MATCH(E522, Sheet1!$C:$C, 0), IF(COUNTIF(Sheet1!$G:$G, $I$8)&gt;0, 1, IF(COUNTIF(Sheet1!$H:$H, $I$8)&gt;0, 2, IF(COUNTIF(Sheet1!$I:$I, $I$8)&gt;0, 3, IF(COUNTIF(Sheet1!$J:$J, $I$8)&gt;0, 4, 0)))))), "")</f>
        <v/>
      </c>
    </row>
    <row r="523" spans="9:9" x14ac:dyDescent="0.25">
      <c r="I523" s="3" t="str" cm="1">
        <f t="array" ref="I523">IFERROR(IF(E523="", "", INDEX(Sheet1!$G:$J, MATCH(E523, Sheet1!$C:$C, 0), IF(COUNTIF(Sheet1!$G:$G, $I$8)&gt;0, 1, IF(COUNTIF(Sheet1!$H:$H, $I$8)&gt;0, 2, IF(COUNTIF(Sheet1!$I:$I, $I$8)&gt;0, 3, IF(COUNTIF(Sheet1!$J:$J, $I$8)&gt;0, 4, 0)))))), "")</f>
        <v/>
      </c>
    </row>
    <row r="524" spans="9:9" x14ac:dyDescent="0.25">
      <c r="I524" s="3" t="str" cm="1">
        <f t="array" ref="I524">IFERROR(IF(E524="", "", INDEX(Sheet1!$G:$J, MATCH(E524, Sheet1!$C:$C, 0), IF(COUNTIF(Sheet1!$G:$G, $I$8)&gt;0, 1, IF(COUNTIF(Sheet1!$H:$H, $I$8)&gt;0, 2, IF(COUNTIF(Sheet1!$I:$I, $I$8)&gt;0, 3, IF(COUNTIF(Sheet1!$J:$J, $I$8)&gt;0, 4, 0)))))), "")</f>
        <v/>
      </c>
    </row>
    <row r="525" spans="9:9" x14ac:dyDescent="0.25">
      <c r="I525" s="3" t="str" cm="1">
        <f t="array" ref="I525">IFERROR(IF(E525="", "", INDEX(Sheet1!$G:$J, MATCH(E525, Sheet1!$C:$C, 0), IF(COUNTIF(Sheet1!$G:$G, $I$8)&gt;0, 1, IF(COUNTIF(Sheet1!$H:$H, $I$8)&gt;0, 2, IF(COUNTIF(Sheet1!$I:$I, $I$8)&gt;0, 3, IF(COUNTIF(Sheet1!$J:$J, $I$8)&gt;0, 4, 0)))))), "")</f>
        <v/>
      </c>
    </row>
    <row r="526" spans="9:9" x14ac:dyDescent="0.25">
      <c r="I526" s="3" t="str" cm="1">
        <f t="array" ref="I526">IFERROR(IF(E526="", "", INDEX(Sheet1!$G:$J, MATCH(E526, Sheet1!$C:$C, 0), IF(COUNTIF(Sheet1!$G:$G, $I$8)&gt;0, 1, IF(COUNTIF(Sheet1!$H:$H, $I$8)&gt;0, 2, IF(COUNTIF(Sheet1!$I:$I, $I$8)&gt;0, 3, IF(COUNTIF(Sheet1!$J:$J, $I$8)&gt;0, 4, 0)))))), "")</f>
        <v/>
      </c>
    </row>
    <row r="527" spans="9:9" x14ac:dyDescent="0.25">
      <c r="I527" s="3" t="str" cm="1">
        <f t="array" ref="I527">IFERROR(IF(E527="", "", INDEX(Sheet1!$G:$J, MATCH(E527, Sheet1!$C:$C, 0), IF(COUNTIF(Sheet1!$G:$G, $I$8)&gt;0, 1, IF(COUNTIF(Sheet1!$H:$H, $I$8)&gt;0, 2, IF(COUNTIF(Sheet1!$I:$I, $I$8)&gt;0, 3, IF(COUNTIF(Sheet1!$J:$J, $I$8)&gt;0, 4, 0)))))), "")</f>
        <v/>
      </c>
    </row>
    <row r="528" spans="9:9" x14ac:dyDescent="0.25">
      <c r="I528" s="3" t="str" cm="1">
        <f t="array" ref="I528">IFERROR(IF(E528="", "", INDEX(Sheet1!$G:$J, MATCH(E528, Sheet1!$C:$C, 0), IF(COUNTIF(Sheet1!$G:$G, $I$8)&gt;0, 1, IF(COUNTIF(Sheet1!$H:$H, $I$8)&gt;0, 2, IF(COUNTIF(Sheet1!$I:$I, $I$8)&gt;0, 3, IF(COUNTIF(Sheet1!$J:$J, $I$8)&gt;0, 4, 0)))))), "")</f>
        <v/>
      </c>
    </row>
    <row r="529" spans="9:9" x14ac:dyDescent="0.25">
      <c r="I529" s="3" t="str" cm="1">
        <f t="array" ref="I529">IFERROR(IF(E529="", "", INDEX(Sheet1!$G:$J, MATCH(E529, Sheet1!$C:$C, 0), IF(COUNTIF(Sheet1!$G:$G, $I$8)&gt;0, 1, IF(COUNTIF(Sheet1!$H:$H, $I$8)&gt;0, 2, IF(COUNTIF(Sheet1!$I:$I, $I$8)&gt;0, 3, IF(COUNTIF(Sheet1!$J:$J, $I$8)&gt;0, 4, 0)))))), "")</f>
        <v/>
      </c>
    </row>
    <row r="530" spans="9:9" x14ac:dyDescent="0.25">
      <c r="I530" s="3" t="str" cm="1">
        <f t="array" ref="I530">IFERROR(IF(E530="", "", INDEX(Sheet1!$G:$J, MATCH(E530, Sheet1!$C:$C, 0), IF(COUNTIF(Sheet1!$G:$G, $I$8)&gt;0, 1, IF(COUNTIF(Sheet1!$H:$H, $I$8)&gt;0, 2, IF(COUNTIF(Sheet1!$I:$I, $I$8)&gt;0, 3, IF(COUNTIF(Sheet1!$J:$J, $I$8)&gt;0, 4, 0)))))), "")</f>
        <v/>
      </c>
    </row>
    <row r="531" spans="9:9" x14ac:dyDescent="0.25">
      <c r="I531" s="3" t="str" cm="1">
        <f t="array" ref="I531">IFERROR(IF(E531="", "", INDEX(Sheet1!$G:$J, MATCH(E531, Sheet1!$C:$C, 0), IF(COUNTIF(Sheet1!$G:$G, $I$8)&gt;0, 1, IF(COUNTIF(Sheet1!$H:$H, $I$8)&gt;0, 2, IF(COUNTIF(Sheet1!$I:$I, $I$8)&gt;0, 3, IF(COUNTIF(Sheet1!$J:$J, $I$8)&gt;0, 4, 0)))))), "")</f>
        <v/>
      </c>
    </row>
    <row r="532" spans="9:9" x14ac:dyDescent="0.25">
      <c r="I532" s="3" t="str" cm="1">
        <f t="array" ref="I532">IFERROR(IF(E532="", "", INDEX(Sheet1!$G:$J, MATCH(E532, Sheet1!$C:$C, 0), IF(COUNTIF(Sheet1!$G:$G, $I$8)&gt;0, 1, IF(COUNTIF(Sheet1!$H:$H, $I$8)&gt;0, 2, IF(COUNTIF(Sheet1!$I:$I, $I$8)&gt;0, 3, IF(COUNTIF(Sheet1!$J:$J, $I$8)&gt;0, 4, 0)))))), "")</f>
        <v/>
      </c>
    </row>
    <row r="533" spans="9:9" x14ac:dyDescent="0.25">
      <c r="I533" s="3" t="str" cm="1">
        <f t="array" ref="I533">IFERROR(IF(E533="", "", INDEX(Sheet1!$G:$J, MATCH(E533, Sheet1!$C:$C, 0), IF(COUNTIF(Sheet1!$G:$G, $I$8)&gt;0, 1, IF(COUNTIF(Sheet1!$H:$H, $I$8)&gt;0, 2, IF(COUNTIF(Sheet1!$I:$I, $I$8)&gt;0, 3, IF(COUNTIF(Sheet1!$J:$J, $I$8)&gt;0, 4, 0)))))), "")</f>
        <v/>
      </c>
    </row>
    <row r="534" spans="9:9" x14ac:dyDescent="0.25">
      <c r="I534" s="3" t="str" cm="1">
        <f t="array" ref="I534">IFERROR(IF(E534="", "", INDEX(Sheet1!$G:$J, MATCH(E534, Sheet1!$C:$C, 0), IF(COUNTIF(Sheet1!$G:$G, $I$8)&gt;0, 1, IF(COUNTIF(Sheet1!$H:$H, $I$8)&gt;0, 2, IF(COUNTIF(Sheet1!$I:$I, $I$8)&gt;0, 3, IF(COUNTIF(Sheet1!$J:$J, $I$8)&gt;0, 4, 0)))))), "")</f>
        <v/>
      </c>
    </row>
    <row r="535" spans="9:9" x14ac:dyDescent="0.25">
      <c r="I535" s="3" t="str" cm="1">
        <f t="array" ref="I535">IFERROR(IF(E535="", "", INDEX(Sheet1!$G:$J, MATCH(E535, Sheet1!$C:$C, 0), IF(COUNTIF(Sheet1!$G:$G, $I$8)&gt;0, 1, IF(COUNTIF(Sheet1!$H:$H, $I$8)&gt;0, 2, IF(COUNTIF(Sheet1!$I:$I, $I$8)&gt;0, 3, IF(COUNTIF(Sheet1!$J:$J, $I$8)&gt;0, 4, 0)))))), "")</f>
        <v/>
      </c>
    </row>
    <row r="536" spans="9:9" x14ac:dyDescent="0.25">
      <c r="I536" s="3" t="str" cm="1">
        <f t="array" ref="I536">IFERROR(IF(E536="", "", INDEX(Sheet1!$G:$J, MATCH(E536, Sheet1!$C:$C, 0), IF(COUNTIF(Sheet1!$G:$G, $I$8)&gt;0, 1, IF(COUNTIF(Sheet1!$H:$H, $I$8)&gt;0, 2, IF(COUNTIF(Sheet1!$I:$I, $I$8)&gt;0, 3, IF(COUNTIF(Sheet1!$J:$J, $I$8)&gt;0, 4, 0)))))), "")</f>
        <v/>
      </c>
    </row>
    <row r="537" spans="9:9" x14ac:dyDescent="0.25">
      <c r="I537" s="3" t="str" cm="1">
        <f t="array" ref="I537">IFERROR(IF(E537="", "", INDEX(Sheet1!$G:$J, MATCH(E537, Sheet1!$C:$C, 0), IF(COUNTIF(Sheet1!$G:$G, $I$8)&gt;0, 1, IF(COUNTIF(Sheet1!$H:$H, $I$8)&gt;0, 2, IF(COUNTIF(Sheet1!$I:$I, $I$8)&gt;0, 3, IF(COUNTIF(Sheet1!$J:$J, $I$8)&gt;0, 4, 0)))))), "")</f>
        <v/>
      </c>
    </row>
    <row r="538" spans="9:9" x14ac:dyDescent="0.25">
      <c r="I538" s="3" t="str" cm="1">
        <f t="array" ref="I538">IFERROR(IF(E538="", "", INDEX(Sheet1!$G:$J, MATCH(E538, Sheet1!$C:$C, 0), IF(COUNTIF(Sheet1!$G:$G, $I$8)&gt;0, 1, IF(COUNTIF(Sheet1!$H:$H, $I$8)&gt;0, 2, IF(COUNTIF(Sheet1!$I:$I, $I$8)&gt;0, 3, IF(COUNTIF(Sheet1!$J:$J, $I$8)&gt;0, 4, 0)))))), "")</f>
        <v/>
      </c>
    </row>
    <row r="539" spans="9:9" x14ac:dyDescent="0.25">
      <c r="I539" s="3" t="str" cm="1">
        <f t="array" ref="I539">IFERROR(IF(E539="", "", INDEX(Sheet1!$G:$J, MATCH(E539, Sheet1!$C:$C, 0), IF(COUNTIF(Sheet1!$G:$G, $I$8)&gt;0, 1, IF(COUNTIF(Sheet1!$H:$H, $I$8)&gt;0, 2, IF(COUNTIF(Sheet1!$I:$I, $I$8)&gt;0, 3, IF(COUNTIF(Sheet1!$J:$J, $I$8)&gt;0, 4, 0)))))), "")</f>
        <v/>
      </c>
    </row>
    <row r="540" spans="9:9" x14ac:dyDescent="0.25">
      <c r="I540" s="3" t="str" cm="1">
        <f t="array" ref="I540">IFERROR(IF(E540="", "", INDEX(Sheet1!$G:$J, MATCH(E540, Sheet1!$C:$C, 0), IF(COUNTIF(Sheet1!$G:$G, $I$8)&gt;0, 1, IF(COUNTIF(Sheet1!$H:$H, $I$8)&gt;0, 2, IF(COUNTIF(Sheet1!$I:$I, $I$8)&gt;0, 3, IF(COUNTIF(Sheet1!$J:$J, $I$8)&gt;0, 4, 0)))))), "")</f>
        <v/>
      </c>
    </row>
    <row r="541" spans="9:9" x14ac:dyDescent="0.25">
      <c r="I541" s="3" t="str" cm="1">
        <f t="array" ref="I541">IFERROR(IF(E541="", "", INDEX(Sheet1!$G:$J, MATCH(E541, Sheet1!$C:$C, 0), IF(COUNTIF(Sheet1!$G:$G, $I$8)&gt;0, 1, IF(COUNTIF(Sheet1!$H:$H, $I$8)&gt;0, 2, IF(COUNTIF(Sheet1!$I:$I, $I$8)&gt;0, 3, IF(COUNTIF(Sheet1!$J:$J, $I$8)&gt;0, 4, 0)))))), "")</f>
        <v/>
      </c>
    </row>
    <row r="542" spans="9:9" x14ac:dyDescent="0.25">
      <c r="I542" s="3" t="str" cm="1">
        <f t="array" ref="I542">IFERROR(IF(E542="", "", INDEX(Sheet1!$G:$J, MATCH(E542, Sheet1!$C:$C, 0), IF(COUNTIF(Sheet1!$G:$G, $I$8)&gt;0, 1, IF(COUNTIF(Sheet1!$H:$H, $I$8)&gt;0, 2, IF(COUNTIF(Sheet1!$I:$I, $I$8)&gt;0, 3, IF(COUNTIF(Sheet1!$J:$J, $I$8)&gt;0, 4, 0)))))), "")</f>
        <v/>
      </c>
    </row>
    <row r="543" spans="9:9" x14ac:dyDescent="0.25">
      <c r="I543" s="3" t="str" cm="1">
        <f t="array" ref="I543">IFERROR(IF(E543="", "", INDEX(Sheet1!$G:$J, MATCH(E543, Sheet1!$C:$C, 0), IF(COUNTIF(Sheet1!$G:$G, $I$8)&gt;0, 1, IF(COUNTIF(Sheet1!$H:$H, $I$8)&gt;0, 2, IF(COUNTIF(Sheet1!$I:$I, $I$8)&gt;0, 3, IF(COUNTIF(Sheet1!$J:$J, $I$8)&gt;0, 4, 0)))))), "")</f>
        <v/>
      </c>
    </row>
    <row r="544" spans="9:9" x14ac:dyDescent="0.25">
      <c r="I544" s="3" t="str" cm="1">
        <f t="array" ref="I544">IFERROR(IF(E544="", "", INDEX(Sheet1!$G:$J, MATCH(E544, Sheet1!$C:$C, 0), IF(COUNTIF(Sheet1!$G:$G, $I$8)&gt;0, 1, IF(COUNTIF(Sheet1!$H:$H, $I$8)&gt;0, 2, IF(COUNTIF(Sheet1!$I:$I, $I$8)&gt;0, 3, IF(COUNTIF(Sheet1!$J:$J, $I$8)&gt;0, 4, 0)))))), "")</f>
        <v/>
      </c>
    </row>
    <row r="545" spans="9:9" x14ac:dyDescent="0.25">
      <c r="I545" s="3" t="str" cm="1">
        <f t="array" ref="I545">IFERROR(IF(E545="", "", INDEX(Sheet1!$G:$J, MATCH(E545, Sheet1!$C:$C, 0), IF(COUNTIF(Sheet1!$G:$G, $I$8)&gt;0, 1, IF(COUNTIF(Sheet1!$H:$H, $I$8)&gt;0, 2, IF(COUNTIF(Sheet1!$I:$I, $I$8)&gt;0, 3, IF(COUNTIF(Sheet1!$J:$J, $I$8)&gt;0, 4, 0)))))), "")</f>
        <v/>
      </c>
    </row>
    <row r="546" spans="9:9" x14ac:dyDescent="0.25">
      <c r="I546" s="3" t="str" cm="1">
        <f t="array" ref="I546">IFERROR(IF(E546="", "", INDEX(Sheet1!$G:$J, MATCH(E546, Sheet1!$C:$C, 0), IF(COUNTIF(Sheet1!$G:$G, $I$8)&gt;0, 1, IF(COUNTIF(Sheet1!$H:$H, $I$8)&gt;0, 2, IF(COUNTIF(Sheet1!$I:$I, $I$8)&gt;0, 3, IF(COUNTIF(Sheet1!$J:$J, $I$8)&gt;0, 4, 0)))))), "")</f>
        <v/>
      </c>
    </row>
    <row r="547" spans="9:9" x14ac:dyDescent="0.25">
      <c r="I547" s="3" t="str" cm="1">
        <f t="array" ref="I547">IFERROR(IF(E547="", "", INDEX(Sheet1!$G:$J, MATCH(E547, Sheet1!$C:$C, 0), IF(COUNTIF(Sheet1!$G:$G, $I$8)&gt;0, 1, IF(COUNTIF(Sheet1!$H:$H, $I$8)&gt;0, 2, IF(COUNTIF(Sheet1!$I:$I, $I$8)&gt;0, 3, IF(COUNTIF(Sheet1!$J:$J, $I$8)&gt;0, 4, 0)))))), "")</f>
        <v/>
      </c>
    </row>
    <row r="548" spans="9:9" x14ac:dyDescent="0.25">
      <c r="I548" s="3" t="str" cm="1">
        <f t="array" ref="I548">IFERROR(IF(E548="", "", INDEX(Sheet1!$G:$J, MATCH(E548, Sheet1!$C:$C, 0), IF(COUNTIF(Sheet1!$G:$G, $I$8)&gt;0, 1, IF(COUNTIF(Sheet1!$H:$H, $I$8)&gt;0, 2, IF(COUNTIF(Sheet1!$I:$I, $I$8)&gt;0, 3, IF(COUNTIF(Sheet1!$J:$J, $I$8)&gt;0, 4, 0)))))), "")</f>
        <v/>
      </c>
    </row>
    <row r="549" spans="9:9" x14ac:dyDescent="0.25">
      <c r="I549" s="3" t="str" cm="1">
        <f t="array" ref="I549">IFERROR(IF(E549="", "", INDEX(Sheet1!$G:$J, MATCH(E549, Sheet1!$C:$C, 0), IF(COUNTIF(Sheet1!$G:$G, $I$8)&gt;0, 1, IF(COUNTIF(Sheet1!$H:$H, $I$8)&gt;0, 2, IF(COUNTIF(Sheet1!$I:$I, $I$8)&gt;0, 3, IF(COUNTIF(Sheet1!$J:$J, $I$8)&gt;0, 4, 0)))))), "")</f>
        <v/>
      </c>
    </row>
    <row r="550" spans="9:9" x14ac:dyDescent="0.25">
      <c r="I550" s="3" t="str" cm="1">
        <f t="array" ref="I550">IFERROR(IF(E550="", "", INDEX(Sheet1!$G:$J, MATCH(E550, Sheet1!$C:$C, 0), IF(COUNTIF(Sheet1!$G:$G, $I$8)&gt;0, 1, IF(COUNTIF(Sheet1!$H:$H, $I$8)&gt;0, 2, IF(COUNTIF(Sheet1!$I:$I, $I$8)&gt;0, 3, IF(COUNTIF(Sheet1!$J:$J, $I$8)&gt;0, 4, 0)))))), "")</f>
        <v/>
      </c>
    </row>
    <row r="551" spans="9:9" x14ac:dyDescent="0.25">
      <c r="I551" s="3" t="str" cm="1">
        <f t="array" ref="I551">IFERROR(IF(E551="", "", INDEX(Sheet1!$G:$J, MATCH(E551, Sheet1!$C:$C, 0), IF(COUNTIF(Sheet1!$G:$G, $I$8)&gt;0, 1, IF(COUNTIF(Sheet1!$H:$H, $I$8)&gt;0, 2, IF(COUNTIF(Sheet1!$I:$I, $I$8)&gt;0, 3, IF(COUNTIF(Sheet1!$J:$J, $I$8)&gt;0, 4, 0)))))), "")</f>
        <v/>
      </c>
    </row>
    <row r="552" spans="9:9" x14ac:dyDescent="0.25">
      <c r="I552" s="3" t="str" cm="1">
        <f t="array" ref="I552">IFERROR(IF(E552="", "", INDEX(Sheet1!$G:$J, MATCH(E552, Sheet1!$C:$C, 0), IF(COUNTIF(Sheet1!$G:$G, $I$8)&gt;0, 1, IF(COUNTIF(Sheet1!$H:$H, $I$8)&gt;0, 2, IF(COUNTIF(Sheet1!$I:$I, $I$8)&gt;0, 3, IF(COUNTIF(Sheet1!$J:$J, $I$8)&gt;0, 4, 0)))))), "")</f>
        <v/>
      </c>
    </row>
    <row r="553" spans="9:9" x14ac:dyDescent="0.25">
      <c r="I553" s="3" t="str" cm="1">
        <f t="array" ref="I553">IFERROR(IF(E553="", "", INDEX(Sheet1!$G:$J, MATCH(E553, Sheet1!$C:$C, 0), IF(COUNTIF(Sheet1!$G:$G, $I$8)&gt;0, 1, IF(COUNTIF(Sheet1!$H:$H, $I$8)&gt;0, 2, IF(COUNTIF(Sheet1!$I:$I, $I$8)&gt;0, 3, IF(COUNTIF(Sheet1!$J:$J, $I$8)&gt;0, 4, 0)))))), "")</f>
        <v/>
      </c>
    </row>
    <row r="554" spans="9:9" x14ac:dyDescent="0.25">
      <c r="I554" s="3" t="str" cm="1">
        <f t="array" ref="I554">IFERROR(IF(E554="", "", INDEX(Sheet1!$G:$J, MATCH(E554, Sheet1!$C:$C, 0), IF(COUNTIF(Sheet1!$G:$G, $I$8)&gt;0, 1, IF(COUNTIF(Sheet1!$H:$H, $I$8)&gt;0, 2, IF(COUNTIF(Sheet1!$I:$I, $I$8)&gt;0, 3, IF(COUNTIF(Sheet1!$J:$J, $I$8)&gt;0, 4, 0)))))), "")</f>
        <v/>
      </c>
    </row>
    <row r="555" spans="9:9" x14ac:dyDescent="0.25">
      <c r="I555" s="3" t="str" cm="1">
        <f t="array" ref="I555">IFERROR(IF(E555="", "", INDEX(Sheet1!$G:$J, MATCH(E555, Sheet1!$C:$C, 0), IF(COUNTIF(Sheet1!$G:$G, $I$8)&gt;0, 1, IF(COUNTIF(Sheet1!$H:$H, $I$8)&gt;0, 2, IF(COUNTIF(Sheet1!$I:$I, $I$8)&gt;0, 3, IF(COUNTIF(Sheet1!$J:$J, $I$8)&gt;0, 4, 0)))))), "")</f>
        <v/>
      </c>
    </row>
    <row r="556" spans="9:9" x14ac:dyDescent="0.25">
      <c r="I556" s="3" t="str" cm="1">
        <f t="array" ref="I556">IFERROR(IF(E556="", "", INDEX(Sheet1!$G:$J, MATCH(E556, Sheet1!$C:$C, 0), IF(COUNTIF(Sheet1!$G:$G, $I$8)&gt;0, 1, IF(COUNTIF(Sheet1!$H:$H, $I$8)&gt;0, 2, IF(COUNTIF(Sheet1!$I:$I, $I$8)&gt;0, 3, IF(COUNTIF(Sheet1!$J:$J, $I$8)&gt;0, 4, 0)))))), "")</f>
        <v/>
      </c>
    </row>
    <row r="557" spans="9:9" x14ac:dyDescent="0.25">
      <c r="I557" s="3" t="str" cm="1">
        <f t="array" ref="I557">IFERROR(IF(E557="", "", INDEX(Sheet1!$G:$J, MATCH(E557, Sheet1!$C:$C, 0), IF(COUNTIF(Sheet1!$G:$G, $I$8)&gt;0, 1, IF(COUNTIF(Sheet1!$H:$H, $I$8)&gt;0, 2, IF(COUNTIF(Sheet1!$I:$I, $I$8)&gt;0, 3, IF(COUNTIF(Sheet1!$J:$J, $I$8)&gt;0, 4, 0)))))), "")</f>
        <v/>
      </c>
    </row>
    <row r="558" spans="9:9" x14ac:dyDescent="0.25">
      <c r="I558" s="3" t="str" cm="1">
        <f t="array" ref="I558">IFERROR(IF(E558="", "", INDEX(Sheet1!$G:$J, MATCH(E558, Sheet1!$C:$C, 0), IF(COUNTIF(Sheet1!$G:$G, $I$8)&gt;0, 1, IF(COUNTIF(Sheet1!$H:$H, $I$8)&gt;0, 2, IF(COUNTIF(Sheet1!$I:$I, $I$8)&gt;0, 3, IF(COUNTIF(Sheet1!$J:$J, $I$8)&gt;0, 4, 0)))))), "")</f>
        <v/>
      </c>
    </row>
    <row r="559" spans="9:9" x14ac:dyDescent="0.25">
      <c r="I559" s="3" t="str" cm="1">
        <f t="array" ref="I559">IFERROR(IF(E559="", "", INDEX(Sheet1!$G:$J, MATCH(E559, Sheet1!$C:$C, 0), IF(COUNTIF(Sheet1!$G:$G, $I$8)&gt;0, 1, IF(COUNTIF(Sheet1!$H:$H, $I$8)&gt;0, 2, IF(COUNTIF(Sheet1!$I:$I, $I$8)&gt;0, 3, IF(COUNTIF(Sheet1!$J:$J, $I$8)&gt;0, 4, 0)))))), "")</f>
        <v/>
      </c>
    </row>
    <row r="560" spans="9:9" x14ac:dyDescent="0.25">
      <c r="I560" s="3" t="str" cm="1">
        <f t="array" ref="I560">IFERROR(IF(E560="", "", INDEX(Sheet1!$G:$J, MATCH(E560, Sheet1!$C:$C, 0), IF(COUNTIF(Sheet1!$G:$G, $I$8)&gt;0, 1, IF(COUNTIF(Sheet1!$H:$H, $I$8)&gt;0, 2, IF(COUNTIF(Sheet1!$I:$I, $I$8)&gt;0, 3, IF(COUNTIF(Sheet1!$J:$J, $I$8)&gt;0, 4, 0)))))), "")</f>
        <v/>
      </c>
    </row>
    <row r="561" spans="9:9" x14ac:dyDescent="0.25">
      <c r="I561" s="3" t="str" cm="1">
        <f t="array" ref="I561">IFERROR(IF(E561="", "", INDEX(Sheet1!$G:$J, MATCH(E561, Sheet1!$C:$C, 0), IF(COUNTIF(Sheet1!$G:$G, $I$8)&gt;0, 1, IF(COUNTIF(Sheet1!$H:$H, $I$8)&gt;0, 2, IF(COUNTIF(Sheet1!$I:$I, $I$8)&gt;0, 3, IF(COUNTIF(Sheet1!$J:$J, $I$8)&gt;0, 4, 0)))))), "")</f>
        <v/>
      </c>
    </row>
    <row r="562" spans="9:9" x14ac:dyDescent="0.25">
      <c r="I562" s="3" t="str" cm="1">
        <f t="array" ref="I562">IFERROR(IF(E562="", "", INDEX(Sheet1!$G:$J, MATCH(E562, Sheet1!$C:$C, 0), IF(COUNTIF(Sheet1!$G:$G, $I$8)&gt;0, 1, IF(COUNTIF(Sheet1!$H:$H, $I$8)&gt;0, 2, IF(COUNTIF(Sheet1!$I:$I, $I$8)&gt;0, 3, IF(COUNTIF(Sheet1!$J:$J, $I$8)&gt;0, 4, 0)))))), "")</f>
        <v/>
      </c>
    </row>
    <row r="563" spans="9:9" x14ac:dyDescent="0.25">
      <c r="I563" s="3" t="str" cm="1">
        <f t="array" ref="I563">IFERROR(IF(E563="", "", INDEX(Sheet1!$G:$J, MATCH(E563, Sheet1!$C:$C, 0), IF(COUNTIF(Sheet1!$G:$G, $I$8)&gt;0, 1, IF(COUNTIF(Sheet1!$H:$H, $I$8)&gt;0, 2, IF(COUNTIF(Sheet1!$I:$I, $I$8)&gt;0, 3, IF(COUNTIF(Sheet1!$J:$J, $I$8)&gt;0, 4, 0)))))), "")</f>
        <v/>
      </c>
    </row>
    <row r="564" spans="9:9" x14ac:dyDescent="0.25">
      <c r="I564" s="3" t="str" cm="1">
        <f t="array" ref="I564">IFERROR(IF(E564="", "", INDEX(Sheet1!$G:$J, MATCH(E564, Sheet1!$C:$C, 0), IF(COUNTIF(Sheet1!$G:$G, $I$8)&gt;0, 1, IF(COUNTIF(Sheet1!$H:$H, $I$8)&gt;0, 2, IF(COUNTIF(Sheet1!$I:$I, $I$8)&gt;0, 3, IF(COUNTIF(Sheet1!$J:$J, $I$8)&gt;0, 4, 0)))))), "")</f>
        <v/>
      </c>
    </row>
    <row r="565" spans="9:9" x14ac:dyDescent="0.25">
      <c r="I565" s="3" t="str" cm="1">
        <f t="array" ref="I565">IFERROR(IF(E565="", "", INDEX(Sheet1!$G:$J, MATCH(E565, Sheet1!$C:$C, 0), IF(COUNTIF(Sheet1!$G:$G, $I$8)&gt;0, 1, IF(COUNTIF(Sheet1!$H:$H, $I$8)&gt;0, 2, IF(COUNTIF(Sheet1!$I:$I, $I$8)&gt;0, 3, IF(COUNTIF(Sheet1!$J:$J, $I$8)&gt;0, 4, 0)))))), "")</f>
        <v/>
      </c>
    </row>
    <row r="566" spans="9:9" x14ac:dyDescent="0.25">
      <c r="I566" s="3" t="str" cm="1">
        <f t="array" ref="I566">IFERROR(IF(E566="", "", INDEX(Sheet1!$G:$J, MATCH(E566, Sheet1!$C:$C, 0), IF(COUNTIF(Sheet1!$G:$G, $I$8)&gt;0, 1, IF(COUNTIF(Sheet1!$H:$H, $I$8)&gt;0, 2, IF(COUNTIF(Sheet1!$I:$I, $I$8)&gt;0, 3, IF(COUNTIF(Sheet1!$J:$J, $I$8)&gt;0, 4, 0)))))), "")</f>
        <v/>
      </c>
    </row>
    <row r="567" spans="9:9" x14ac:dyDescent="0.25">
      <c r="I567" s="3" t="str" cm="1">
        <f t="array" ref="I567">IFERROR(IF(E567="", "", INDEX(Sheet1!$G:$J, MATCH(E567, Sheet1!$C:$C, 0), IF(COUNTIF(Sheet1!$G:$G, $I$8)&gt;0, 1, IF(COUNTIF(Sheet1!$H:$H, $I$8)&gt;0, 2, IF(COUNTIF(Sheet1!$I:$I, $I$8)&gt;0, 3, IF(COUNTIF(Sheet1!$J:$J, $I$8)&gt;0, 4, 0)))))), "")</f>
        <v/>
      </c>
    </row>
    <row r="568" spans="9:9" x14ac:dyDescent="0.25">
      <c r="I568" s="3" t="str" cm="1">
        <f t="array" ref="I568">IFERROR(IF(E568="", "", INDEX(Sheet1!$G:$J, MATCH(E568, Sheet1!$C:$C, 0), IF(COUNTIF(Sheet1!$G:$G, $I$8)&gt;0, 1, IF(COUNTIF(Sheet1!$H:$H, $I$8)&gt;0, 2, IF(COUNTIF(Sheet1!$I:$I, $I$8)&gt;0, 3, IF(COUNTIF(Sheet1!$J:$J, $I$8)&gt;0, 4, 0)))))), "")</f>
        <v/>
      </c>
    </row>
    <row r="569" spans="9:9" x14ac:dyDescent="0.25">
      <c r="I569" s="3" t="str" cm="1">
        <f t="array" ref="I569">IFERROR(IF(E569="", "", INDEX(Sheet1!$G:$J, MATCH(E569, Sheet1!$C:$C, 0), IF(COUNTIF(Sheet1!$G:$G, $I$8)&gt;0, 1, IF(COUNTIF(Sheet1!$H:$H, $I$8)&gt;0, 2, IF(COUNTIF(Sheet1!$I:$I, $I$8)&gt;0, 3, IF(COUNTIF(Sheet1!$J:$J, $I$8)&gt;0, 4, 0)))))), "")</f>
        <v/>
      </c>
    </row>
    <row r="570" spans="9:9" x14ac:dyDescent="0.25">
      <c r="I570" s="3" t="str" cm="1">
        <f t="array" ref="I570">IFERROR(IF(E570="", "", INDEX(Sheet1!$G:$J, MATCH(E570, Sheet1!$C:$C, 0), IF(COUNTIF(Sheet1!$G:$G, $I$8)&gt;0, 1, IF(COUNTIF(Sheet1!$H:$H, $I$8)&gt;0, 2, IF(COUNTIF(Sheet1!$I:$I, $I$8)&gt;0, 3, IF(COUNTIF(Sheet1!$J:$J, $I$8)&gt;0, 4, 0)))))), "")</f>
        <v/>
      </c>
    </row>
    <row r="571" spans="9:9" x14ac:dyDescent="0.25">
      <c r="I571" s="3" t="str" cm="1">
        <f t="array" ref="I571">IFERROR(IF(E571="", "", INDEX(Sheet1!$G:$J, MATCH(E571, Sheet1!$C:$C, 0), IF(COUNTIF(Sheet1!$G:$G, $I$8)&gt;0, 1, IF(COUNTIF(Sheet1!$H:$H, $I$8)&gt;0, 2, IF(COUNTIF(Sheet1!$I:$I, $I$8)&gt;0, 3, IF(COUNTIF(Sheet1!$J:$J, $I$8)&gt;0, 4, 0)))))), "")</f>
        <v/>
      </c>
    </row>
    <row r="572" spans="9:9" x14ac:dyDescent="0.25">
      <c r="I572" s="3" t="str" cm="1">
        <f t="array" ref="I572">IFERROR(IF(E572="", "", INDEX(Sheet1!$G:$J, MATCH(E572, Sheet1!$C:$C, 0), IF(COUNTIF(Sheet1!$G:$G, $I$8)&gt;0, 1, IF(COUNTIF(Sheet1!$H:$H, $I$8)&gt;0, 2, IF(COUNTIF(Sheet1!$I:$I, $I$8)&gt;0, 3, IF(COUNTIF(Sheet1!$J:$J, $I$8)&gt;0, 4, 0)))))), "")</f>
        <v/>
      </c>
    </row>
    <row r="573" spans="9:9" x14ac:dyDescent="0.25">
      <c r="I573" s="3" t="str" cm="1">
        <f t="array" ref="I573">IFERROR(IF(E573="", "", INDEX(Sheet1!$G:$J, MATCH(E573, Sheet1!$C:$C, 0), IF(COUNTIF(Sheet1!$G:$G, $I$8)&gt;0, 1, IF(COUNTIF(Sheet1!$H:$H, $I$8)&gt;0, 2, IF(COUNTIF(Sheet1!$I:$I, $I$8)&gt;0, 3, IF(COUNTIF(Sheet1!$J:$J, $I$8)&gt;0, 4, 0)))))), "")</f>
        <v/>
      </c>
    </row>
    <row r="574" spans="9:9" x14ac:dyDescent="0.25">
      <c r="I574" s="3" t="str" cm="1">
        <f t="array" ref="I574">IFERROR(IF(E574="", "", INDEX(Sheet1!$G:$J, MATCH(E574, Sheet1!$C:$C, 0), IF(COUNTIF(Sheet1!$G:$G, $I$8)&gt;0, 1, IF(COUNTIF(Sheet1!$H:$H, $I$8)&gt;0, 2, IF(COUNTIF(Sheet1!$I:$I, $I$8)&gt;0, 3, IF(COUNTIF(Sheet1!$J:$J, $I$8)&gt;0, 4, 0)))))), "")</f>
        <v/>
      </c>
    </row>
    <row r="575" spans="9:9" x14ac:dyDescent="0.25">
      <c r="I575" s="3" t="str" cm="1">
        <f t="array" ref="I575">IFERROR(IF(E575="", "", INDEX(Sheet1!$G:$J, MATCH(E575, Sheet1!$C:$C, 0), IF(COUNTIF(Sheet1!$G:$G, $I$8)&gt;0, 1, IF(COUNTIF(Sheet1!$H:$H, $I$8)&gt;0, 2, IF(COUNTIF(Sheet1!$I:$I, $I$8)&gt;0, 3, IF(COUNTIF(Sheet1!$J:$J, $I$8)&gt;0, 4, 0)))))), "")</f>
        <v/>
      </c>
    </row>
    <row r="576" spans="9:9" x14ac:dyDescent="0.25">
      <c r="I576" s="3" t="str" cm="1">
        <f t="array" ref="I576">IFERROR(IF(E576="", "", INDEX(Sheet1!$G:$J, MATCH(E576, Sheet1!$C:$C, 0), IF(COUNTIF(Sheet1!$G:$G, $I$8)&gt;0, 1, IF(COUNTIF(Sheet1!$H:$H, $I$8)&gt;0, 2, IF(COUNTIF(Sheet1!$I:$I, $I$8)&gt;0, 3, IF(COUNTIF(Sheet1!$J:$J, $I$8)&gt;0, 4, 0)))))), "")</f>
        <v/>
      </c>
    </row>
    <row r="577" spans="9:9" x14ac:dyDescent="0.25">
      <c r="I577" s="3" t="str" cm="1">
        <f t="array" ref="I577">IFERROR(IF(E577="", "", INDEX(Sheet1!$G:$J, MATCH(E577, Sheet1!$C:$C, 0), IF(COUNTIF(Sheet1!$G:$G, $I$8)&gt;0, 1, IF(COUNTIF(Sheet1!$H:$H, $I$8)&gt;0, 2, IF(COUNTIF(Sheet1!$I:$I, $I$8)&gt;0, 3, IF(COUNTIF(Sheet1!$J:$J, $I$8)&gt;0, 4, 0)))))), "")</f>
        <v/>
      </c>
    </row>
    <row r="578" spans="9:9" x14ac:dyDescent="0.25">
      <c r="I578" s="3" t="str" cm="1">
        <f t="array" ref="I578">IFERROR(IF(E578="", "", INDEX(Sheet1!$G:$J, MATCH(E578, Sheet1!$C:$C, 0), IF(COUNTIF(Sheet1!$G:$G, $I$8)&gt;0, 1, IF(COUNTIF(Sheet1!$H:$H, $I$8)&gt;0, 2, IF(COUNTIF(Sheet1!$I:$I, $I$8)&gt;0, 3, IF(COUNTIF(Sheet1!$J:$J, $I$8)&gt;0, 4, 0)))))), "")</f>
        <v/>
      </c>
    </row>
    <row r="579" spans="9:9" x14ac:dyDescent="0.25">
      <c r="I579" s="3" t="str" cm="1">
        <f t="array" ref="I579">IFERROR(IF(E579="", "", INDEX(Sheet1!$G:$J, MATCH(E579, Sheet1!$C:$C, 0), IF(COUNTIF(Sheet1!$G:$G, $I$8)&gt;0, 1, IF(COUNTIF(Sheet1!$H:$H, $I$8)&gt;0, 2, IF(COUNTIF(Sheet1!$I:$I, $I$8)&gt;0, 3, IF(COUNTIF(Sheet1!$J:$J, $I$8)&gt;0, 4, 0)))))), "")</f>
        <v/>
      </c>
    </row>
    <row r="580" spans="9:9" x14ac:dyDescent="0.25">
      <c r="I580" s="3" t="str" cm="1">
        <f t="array" ref="I580">IFERROR(IF(E580="", "", INDEX(Sheet1!$G:$J, MATCH(E580, Sheet1!$C:$C, 0), IF(COUNTIF(Sheet1!$G:$G, $I$8)&gt;0, 1, IF(COUNTIF(Sheet1!$H:$H, $I$8)&gt;0, 2, IF(COUNTIF(Sheet1!$I:$I, $I$8)&gt;0, 3, IF(COUNTIF(Sheet1!$J:$J, $I$8)&gt;0, 4, 0)))))), "")</f>
        <v/>
      </c>
    </row>
    <row r="581" spans="9:9" x14ac:dyDescent="0.25">
      <c r="I581" s="3" t="str" cm="1">
        <f t="array" ref="I581">IFERROR(IF(E581="", "", INDEX(Sheet1!$G:$J, MATCH(E581, Sheet1!$C:$C, 0), IF(COUNTIF(Sheet1!$G:$G, $I$8)&gt;0, 1, IF(COUNTIF(Sheet1!$H:$H, $I$8)&gt;0, 2, IF(COUNTIF(Sheet1!$I:$I, $I$8)&gt;0, 3, IF(COUNTIF(Sheet1!$J:$J, $I$8)&gt;0, 4, 0)))))), "")</f>
        <v/>
      </c>
    </row>
    <row r="582" spans="9:9" x14ac:dyDescent="0.25">
      <c r="I582" s="3" t="str" cm="1">
        <f t="array" ref="I582">IFERROR(IF(E582="", "", INDEX(Sheet1!$G:$J, MATCH(E582, Sheet1!$C:$C, 0), IF(COUNTIF(Sheet1!$G:$G, $I$8)&gt;0, 1, IF(COUNTIF(Sheet1!$H:$H, $I$8)&gt;0, 2, IF(COUNTIF(Sheet1!$I:$I, $I$8)&gt;0, 3, IF(COUNTIF(Sheet1!$J:$J, $I$8)&gt;0, 4, 0)))))), "")</f>
        <v/>
      </c>
    </row>
    <row r="583" spans="9:9" x14ac:dyDescent="0.25">
      <c r="I583" s="3" t="str" cm="1">
        <f t="array" ref="I583">IFERROR(IF(E583="", "", INDEX(Sheet1!$G:$J, MATCH(E583, Sheet1!$C:$C, 0), IF(COUNTIF(Sheet1!$G:$G, $I$8)&gt;0, 1, IF(COUNTIF(Sheet1!$H:$H, $I$8)&gt;0, 2, IF(COUNTIF(Sheet1!$I:$I, $I$8)&gt;0, 3, IF(COUNTIF(Sheet1!$J:$J, $I$8)&gt;0, 4, 0)))))), "")</f>
        <v/>
      </c>
    </row>
    <row r="584" spans="9:9" x14ac:dyDescent="0.25">
      <c r="I584" s="3" t="str" cm="1">
        <f t="array" ref="I584">IFERROR(IF(E584="", "", INDEX(Sheet1!$G:$J, MATCH(E584, Sheet1!$C:$C, 0), IF(COUNTIF(Sheet1!$G:$G, $I$8)&gt;0, 1, IF(COUNTIF(Sheet1!$H:$H, $I$8)&gt;0, 2, IF(COUNTIF(Sheet1!$I:$I, $I$8)&gt;0, 3, IF(COUNTIF(Sheet1!$J:$J, $I$8)&gt;0, 4, 0)))))), "")</f>
        <v/>
      </c>
    </row>
    <row r="585" spans="9:9" x14ac:dyDescent="0.25">
      <c r="I585" s="3" t="str" cm="1">
        <f t="array" ref="I585">IFERROR(IF(E585="", "", INDEX(Sheet1!$G:$J, MATCH(E585, Sheet1!$C:$C, 0), IF(COUNTIF(Sheet1!$G:$G, $I$8)&gt;0, 1, IF(COUNTIF(Sheet1!$H:$H, $I$8)&gt;0, 2, IF(COUNTIF(Sheet1!$I:$I, $I$8)&gt;0, 3, IF(COUNTIF(Sheet1!$J:$J, $I$8)&gt;0, 4, 0)))))), "")</f>
        <v/>
      </c>
    </row>
    <row r="586" spans="9:9" x14ac:dyDescent="0.25">
      <c r="I586" s="3" t="str" cm="1">
        <f t="array" ref="I586">IFERROR(IF(E586="", "", INDEX(Sheet1!$G:$J, MATCH(E586, Sheet1!$C:$C, 0), IF(COUNTIF(Sheet1!$G:$G, $I$8)&gt;0, 1, IF(COUNTIF(Sheet1!$H:$H, $I$8)&gt;0, 2, IF(COUNTIF(Sheet1!$I:$I, $I$8)&gt;0, 3, IF(COUNTIF(Sheet1!$J:$J, $I$8)&gt;0, 4, 0)))))), "")</f>
        <v/>
      </c>
    </row>
    <row r="587" spans="9:9" x14ac:dyDescent="0.25">
      <c r="I587" s="3" t="str" cm="1">
        <f t="array" ref="I587">IFERROR(IF(E587="", "", INDEX(Sheet1!$G:$J, MATCH(E587, Sheet1!$C:$C, 0), IF(COUNTIF(Sheet1!$G:$G, $I$8)&gt;0, 1, IF(COUNTIF(Sheet1!$H:$H, $I$8)&gt;0, 2, IF(COUNTIF(Sheet1!$I:$I, $I$8)&gt;0, 3, IF(COUNTIF(Sheet1!$J:$J, $I$8)&gt;0, 4, 0)))))), "")</f>
        <v/>
      </c>
    </row>
    <row r="588" spans="9:9" x14ac:dyDescent="0.25">
      <c r="I588" s="3" t="str" cm="1">
        <f t="array" ref="I588">IFERROR(IF(E588="", "", INDEX(Sheet1!$G:$J, MATCH(E588, Sheet1!$C:$C, 0), IF(COUNTIF(Sheet1!$G:$G, $I$8)&gt;0, 1, IF(COUNTIF(Sheet1!$H:$H, $I$8)&gt;0, 2, IF(COUNTIF(Sheet1!$I:$I, $I$8)&gt;0, 3, IF(COUNTIF(Sheet1!$J:$J, $I$8)&gt;0, 4, 0)))))), "")</f>
        <v/>
      </c>
    </row>
    <row r="589" spans="9:9" x14ac:dyDescent="0.25">
      <c r="I589" s="3" t="str" cm="1">
        <f t="array" ref="I589">IFERROR(IF(E589="", "", INDEX(Sheet1!$G:$J, MATCH(E589, Sheet1!$C:$C, 0), IF(COUNTIF(Sheet1!$G:$G, $I$8)&gt;0, 1, IF(COUNTIF(Sheet1!$H:$H, $I$8)&gt;0, 2, IF(COUNTIF(Sheet1!$I:$I, $I$8)&gt;0, 3, IF(COUNTIF(Sheet1!$J:$J, $I$8)&gt;0, 4, 0)))))), "")</f>
        <v/>
      </c>
    </row>
    <row r="590" spans="9:9" x14ac:dyDescent="0.25">
      <c r="I590" s="3" t="str" cm="1">
        <f t="array" ref="I590">IFERROR(IF(E590="", "", INDEX(Sheet1!$G:$J, MATCH(E590, Sheet1!$C:$C, 0), IF(COUNTIF(Sheet1!$G:$G, $I$8)&gt;0, 1, IF(COUNTIF(Sheet1!$H:$H, $I$8)&gt;0, 2, IF(COUNTIF(Sheet1!$I:$I, $I$8)&gt;0, 3, IF(COUNTIF(Sheet1!$J:$J, $I$8)&gt;0, 4, 0)))))), "")</f>
        <v/>
      </c>
    </row>
    <row r="591" spans="9:9" x14ac:dyDescent="0.25">
      <c r="I591" s="3" t="str" cm="1">
        <f t="array" ref="I591">IFERROR(IF(E591="", "", INDEX(Sheet1!$G:$J, MATCH(E591, Sheet1!$C:$C, 0), IF(COUNTIF(Sheet1!$G:$G, $I$8)&gt;0, 1, IF(COUNTIF(Sheet1!$H:$H, $I$8)&gt;0, 2, IF(COUNTIF(Sheet1!$I:$I, $I$8)&gt;0, 3, IF(COUNTIF(Sheet1!$J:$J, $I$8)&gt;0, 4, 0)))))), "")</f>
        <v/>
      </c>
    </row>
    <row r="592" spans="9:9" x14ac:dyDescent="0.25">
      <c r="I592" s="3" t="str" cm="1">
        <f t="array" ref="I592">IFERROR(IF(E592="", "", INDEX(Sheet1!$G:$J, MATCH(E592, Sheet1!$C:$C, 0), IF(COUNTIF(Sheet1!$G:$G, $I$8)&gt;0, 1, IF(COUNTIF(Sheet1!$H:$H, $I$8)&gt;0, 2, IF(COUNTIF(Sheet1!$I:$I, $I$8)&gt;0, 3, IF(COUNTIF(Sheet1!$J:$J, $I$8)&gt;0, 4, 0)))))), "")</f>
        <v/>
      </c>
    </row>
    <row r="593" spans="9:9" x14ac:dyDescent="0.25">
      <c r="I593" s="3" t="str" cm="1">
        <f t="array" ref="I593">IFERROR(IF(E593="", "", INDEX(Sheet1!$G:$J, MATCH(E593, Sheet1!$C:$C, 0), IF(COUNTIF(Sheet1!$G:$G, $I$8)&gt;0, 1, IF(COUNTIF(Sheet1!$H:$H, $I$8)&gt;0, 2, IF(COUNTIF(Sheet1!$I:$I, $I$8)&gt;0, 3, IF(COUNTIF(Sheet1!$J:$J, $I$8)&gt;0, 4, 0)))))), "")</f>
        <v/>
      </c>
    </row>
    <row r="594" spans="9:9" x14ac:dyDescent="0.25">
      <c r="I594" s="3" t="str" cm="1">
        <f t="array" ref="I594">IFERROR(IF(E594="", "", INDEX(Sheet1!$G:$J, MATCH(E594, Sheet1!$C:$C, 0), IF(COUNTIF(Sheet1!$G:$G, $I$8)&gt;0, 1, IF(COUNTIF(Sheet1!$H:$H, $I$8)&gt;0, 2, IF(COUNTIF(Sheet1!$I:$I, $I$8)&gt;0, 3, IF(COUNTIF(Sheet1!$J:$J, $I$8)&gt;0, 4, 0)))))), "")</f>
        <v/>
      </c>
    </row>
    <row r="595" spans="9:9" x14ac:dyDescent="0.25">
      <c r="I595" s="3" t="str" cm="1">
        <f t="array" ref="I595">IFERROR(IF(E595="", "", INDEX(Sheet1!$G:$J, MATCH(E595, Sheet1!$C:$C, 0), IF(COUNTIF(Sheet1!$G:$G, $I$8)&gt;0, 1, IF(COUNTIF(Sheet1!$H:$H, $I$8)&gt;0, 2, IF(COUNTIF(Sheet1!$I:$I, $I$8)&gt;0, 3, IF(COUNTIF(Sheet1!$J:$J, $I$8)&gt;0, 4, 0)))))), "")</f>
        <v/>
      </c>
    </row>
    <row r="596" spans="9:9" x14ac:dyDescent="0.25">
      <c r="I596" s="3" t="str" cm="1">
        <f t="array" ref="I596">IFERROR(IF(E596="", "", INDEX(Sheet1!$G:$J, MATCH(E596, Sheet1!$C:$C, 0), IF(COUNTIF(Sheet1!$G:$G, $I$8)&gt;0, 1, IF(COUNTIF(Sheet1!$H:$H, $I$8)&gt;0, 2, IF(COUNTIF(Sheet1!$I:$I, $I$8)&gt;0, 3, IF(COUNTIF(Sheet1!$J:$J, $I$8)&gt;0, 4, 0)))))), "")</f>
        <v/>
      </c>
    </row>
    <row r="597" spans="9:9" x14ac:dyDescent="0.25">
      <c r="I597" s="3" t="str" cm="1">
        <f t="array" ref="I597">IFERROR(IF(E597="", "", INDEX(Sheet1!$G:$J, MATCH(E597, Sheet1!$C:$C, 0), IF(COUNTIF(Sheet1!$G:$G, $I$8)&gt;0, 1, IF(COUNTIF(Sheet1!$H:$H, $I$8)&gt;0, 2, IF(COUNTIF(Sheet1!$I:$I, $I$8)&gt;0, 3, IF(COUNTIF(Sheet1!$J:$J, $I$8)&gt;0, 4, 0)))))), "")</f>
        <v/>
      </c>
    </row>
    <row r="598" spans="9:9" x14ac:dyDescent="0.25">
      <c r="I598" s="3" t="str" cm="1">
        <f t="array" ref="I598">IFERROR(IF(E598="", "", INDEX(Sheet1!$G:$J, MATCH(E598, Sheet1!$C:$C, 0), IF(COUNTIF(Sheet1!$G:$G, $I$8)&gt;0, 1, IF(COUNTIF(Sheet1!$H:$H, $I$8)&gt;0, 2, IF(COUNTIF(Sheet1!$I:$I, $I$8)&gt;0, 3, IF(COUNTIF(Sheet1!$J:$J, $I$8)&gt;0, 4, 0)))))), "")</f>
        <v/>
      </c>
    </row>
    <row r="599" spans="9:9" x14ac:dyDescent="0.25">
      <c r="I599" s="3" t="str" cm="1">
        <f t="array" ref="I599">IFERROR(IF(E599="", "", INDEX(Sheet1!$G:$J, MATCH(E599, Sheet1!$C:$C, 0), IF(COUNTIF(Sheet1!$G:$G, $I$8)&gt;0, 1, IF(COUNTIF(Sheet1!$H:$H, $I$8)&gt;0, 2, IF(COUNTIF(Sheet1!$I:$I, $I$8)&gt;0, 3, IF(COUNTIF(Sheet1!$J:$J, $I$8)&gt;0, 4, 0)))))), "")</f>
        <v/>
      </c>
    </row>
    <row r="600" spans="9:9" x14ac:dyDescent="0.25">
      <c r="I600" s="3" t="str" cm="1">
        <f t="array" ref="I600">IFERROR(IF(E600="", "", INDEX(Sheet1!$G:$J, MATCH(E600, Sheet1!$C:$C, 0), IF(COUNTIF(Sheet1!$G:$G, $I$8)&gt;0, 1, IF(COUNTIF(Sheet1!$H:$H, $I$8)&gt;0, 2, IF(COUNTIF(Sheet1!$I:$I, $I$8)&gt;0, 3, IF(COUNTIF(Sheet1!$J:$J, $I$8)&gt;0, 4, 0)))))), "")</f>
        <v/>
      </c>
    </row>
    <row r="601" spans="9:9" x14ac:dyDescent="0.25">
      <c r="I601" s="3" t="str" cm="1">
        <f t="array" ref="I601">IFERROR(IF(E601="", "", INDEX(Sheet1!$G:$J, MATCH(E601, Sheet1!$C:$C, 0), IF(COUNTIF(Sheet1!$G:$G, $I$8)&gt;0, 1, IF(COUNTIF(Sheet1!$H:$H, $I$8)&gt;0, 2, IF(COUNTIF(Sheet1!$I:$I, $I$8)&gt;0, 3, IF(COUNTIF(Sheet1!$J:$J, $I$8)&gt;0, 4, 0)))))), "")</f>
        <v/>
      </c>
    </row>
    <row r="602" spans="9:9" x14ac:dyDescent="0.25">
      <c r="I602" s="3" t="str" cm="1">
        <f t="array" ref="I602">IFERROR(IF(E602="", "", INDEX(Sheet1!$G:$J, MATCH(E602, Sheet1!$C:$C, 0), IF(COUNTIF(Sheet1!$G:$G, $I$8)&gt;0, 1, IF(COUNTIF(Sheet1!$H:$H, $I$8)&gt;0, 2, IF(COUNTIF(Sheet1!$I:$I, $I$8)&gt;0, 3, IF(COUNTIF(Sheet1!$J:$J, $I$8)&gt;0, 4, 0)))))), "")</f>
        <v/>
      </c>
    </row>
    <row r="603" spans="9:9" x14ac:dyDescent="0.25">
      <c r="I603" s="3" t="str" cm="1">
        <f t="array" ref="I603">IFERROR(IF(E603="", "", INDEX(Sheet1!$G:$J, MATCH(E603, Sheet1!$C:$C, 0), IF(COUNTIF(Sheet1!$G:$G, $I$8)&gt;0, 1, IF(COUNTIF(Sheet1!$H:$H, $I$8)&gt;0, 2, IF(COUNTIF(Sheet1!$I:$I, $I$8)&gt;0, 3, IF(COUNTIF(Sheet1!$J:$J, $I$8)&gt;0, 4, 0)))))), "")</f>
        <v/>
      </c>
    </row>
    <row r="604" spans="9:9" x14ac:dyDescent="0.25">
      <c r="I604" s="3" t="str" cm="1">
        <f t="array" ref="I604">IFERROR(IF(E604="", "", INDEX(Sheet1!$G:$J, MATCH(E604, Sheet1!$C:$C, 0), IF(COUNTIF(Sheet1!$G:$G, $I$8)&gt;0, 1, IF(COUNTIF(Sheet1!$H:$H, $I$8)&gt;0, 2, IF(COUNTIF(Sheet1!$I:$I, $I$8)&gt;0, 3, IF(COUNTIF(Sheet1!$J:$J, $I$8)&gt;0, 4, 0)))))), "")</f>
        <v/>
      </c>
    </row>
    <row r="605" spans="9:9" x14ac:dyDescent="0.25">
      <c r="I605" s="3" t="str" cm="1">
        <f t="array" ref="I605">IFERROR(IF(E605="", "", INDEX(Sheet1!$G:$J, MATCH(E605, Sheet1!$C:$C, 0), IF(COUNTIF(Sheet1!$G:$G, $I$8)&gt;0, 1, IF(COUNTIF(Sheet1!$H:$H, $I$8)&gt;0, 2, IF(COUNTIF(Sheet1!$I:$I, $I$8)&gt;0, 3, IF(COUNTIF(Sheet1!$J:$J, $I$8)&gt;0, 4, 0)))))), "")</f>
        <v/>
      </c>
    </row>
    <row r="606" spans="9:9" x14ac:dyDescent="0.25">
      <c r="I606" s="3" t="str" cm="1">
        <f t="array" ref="I606">IFERROR(IF(E606="", "", INDEX(Sheet1!$G:$J, MATCH(E606, Sheet1!$C:$C, 0), IF(COUNTIF(Sheet1!$G:$G, $I$8)&gt;0, 1, IF(COUNTIF(Sheet1!$H:$H, $I$8)&gt;0, 2, IF(COUNTIF(Sheet1!$I:$I, $I$8)&gt;0, 3, IF(COUNTIF(Sheet1!$J:$J, $I$8)&gt;0, 4, 0)))))), "")</f>
        <v/>
      </c>
    </row>
    <row r="607" spans="9:9" x14ac:dyDescent="0.25">
      <c r="I607" s="3" t="str" cm="1">
        <f t="array" ref="I607">IFERROR(IF(E607="", "", INDEX(Sheet1!$G:$J, MATCH(E607, Sheet1!$C:$C, 0), IF(COUNTIF(Sheet1!$G:$G, $I$8)&gt;0, 1, IF(COUNTIF(Sheet1!$H:$H, $I$8)&gt;0, 2, IF(COUNTIF(Sheet1!$I:$I, $I$8)&gt;0, 3, IF(COUNTIF(Sheet1!$J:$J, $I$8)&gt;0, 4, 0)))))), "")</f>
        <v/>
      </c>
    </row>
    <row r="608" spans="9:9" x14ac:dyDescent="0.25">
      <c r="I608" s="3" t="str" cm="1">
        <f t="array" ref="I608">IFERROR(IF(E608="", "", INDEX(Sheet1!$G:$J, MATCH(E608, Sheet1!$C:$C, 0), IF(COUNTIF(Sheet1!$G:$G, $I$8)&gt;0, 1, IF(COUNTIF(Sheet1!$H:$H, $I$8)&gt;0, 2, IF(COUNTIF(Sheet1!$I:$I, $I$8)&gt;0, 3, IF(COUNTIF(Sheet1!$J:$J, $I$8)&gt;0, 4, 0)))))), "")</f>
        <v/>
      </c>
    </row>
    <row r="609" spans="9:9" x14ac:dyDescent="0.25">
      <c r="I609" s="3" t="str" cm="1">
        <f t="array" ref="I609">IFERROR(IF(E609="", "", INDEX(Sheet1!$G:$J, MATCH(E609, Sheet1!$C:$C, 0), IF(COUNTIF(Sheet1!$G:$G, $I$8)&gt;0, 1, IF(COUNTIF(Sheet1!$H:$H, $I$8)&gt;0, 2, IF(COUNTIF(Sheet1!$I:$I, $I$8)&gt;0, 3, IF(COUNTIF(Sheet1!$J:$J, $I$8)&gt;0, 4, 0)))))), "")</f>
        <v/>
      </c>
    </row>
    <row r="610" spans="9:9" x14ac:dyDescent="0.25">
      <c r="I610" s="3" t="str" cm="1">
        <f t="array" ref="I610">IFERROR(IF(E610="", "", INDEX(Sheet1!$G:$J, MATCH(E610, Sheet1!$C:$C, 0), IF(COUNTIF(Sheet1!$G:$G, $I$8)&gt;0, 1, IF(COUNTIF(Sheet1!$H:$H, $I$8)&gt;0, 2, IF(COUNTIF(Sheet1!$I:$I, $I$8)&gt;0, 3, IF(COUNTIF(Sheet1!$J:$J, $I$8)&gt;0, 4, 0)))))), "")</f>
        <v/>
      </c>
    </row>
    <row r="611" spans="9:9" x14ac:dyDescent="0.25">
      <c r="I611" s="3" t="str" cm="1">
        <f t="array" ref="I611">IFERROR(IF(E611="", "", INDEX(Sheet1!$G:$J, MATCH(E611, Sheet1!$C:$C, 0), IF(COUNTIF(Sheet1!$G:$G, $I$8)&gt;0, 1, IF(COUNTIF(Sheet1!$H:$H, $I$8)&gt;0, 2, IF(COUNTIF(Sheet1!$I:$I, $I$8)&gt;0, 3, IF(COUNTIF(Sheet1!$J:$J, $I$8)&gt;0, 4, 0)))))), "")</f>
        <v/>
      </c>
    </row>
    <row r="612" spans="9:9" x14ac:dyDescent="0.25">
      <c r="I612" s="3" t="str" cm="1">
        <f t="array" ref="I612">IFERROR(IF(E612="", "", INDEX(Sheet1!$G:$J, MATCH(E612, Sheet1!$C:$C, 0), IF(COUNTIF(Sheet1!$G:$G, $I$8)&gt;0, 1, IF(COUNTIF(Sheet1!$H:$H, $I$8)&gt;0, 2, IF(COUNTIF(Sheet1!$I:$I, $I$8)&gt;0, 3, IF(COUNTIF(Sheet1!$J:$J, $I$8)&gt;0, 4, 0)))))), "")</f>
        <v/>
      </c>
    </row>
    <row r="613" spans="9:9" x14ac:dyDescent="0.25">
      <c r="I613" s="3" t="str" cm="1">
        <f t="array" ref="I613">IFERROR(IF(E613="", "", INDEX(Sheet1!$G:$J, MATCH(E613, Sheet1!$C:$C, 0), IF(COUNTIF(Sheet1!$G:$G, $I$8)&gt;0, 1, IF(COUNTIF(Sheet1!$H:$H, $I$8)&gt;0, 2, IF(COUNTIF(Sheet1!$I:$I, $I$8)&gt;0, 3, IF(COUNTIF(Sheet1!$J:$J, $I$8)&gt;0, 4, 0)))))), "")</f>
        <v/>
      </c>
    </row>
    <row r="614" spans="9:9" x14ac:dyDescent="0.25">
      <c r="I614" s="3" t="str" cm="1">
        <f t="array" ref="I614">IFERROR(IF(E614="", "", INDEX(Sheet1!$G:$J, MATCH(E614, Sheet1!$C:$C, 0), IF(COUNTIF(Sheet1!$G:$G, $I$8)&gt;0, 1, IF(COUNTIF(Sheet1!$H:$H, $I$8)&gt;0, 2, IF(COUNTIF(Sheet1!$I:$I, $I$8)&gt;0, 3, IF(COUNTIF(Sheet1!$J:$J, $I$8)&gt;0, 4, 0)))))), "")</f>
        <v/>
      </c>
    </row>
    <row r="615" spans="9:9" x14ac:dyDescent="0.25">
      <c r="I615" s="3" t="str" cm="1">
        <f t="array" ref="I615">IFERROR(IF(E615="", "", INDEX(Sheet1!$G:$J, MATCH(E615, Sheet1!$C:$C, 0), IF(COUNTIF(Sheet1!$G:$G, $I$8)&gt;0, 1, IF(COUNTIF(Sheet1!$H:$H, $I$8)&gt;0, 2, IF(COUNTIF(Sheet1!$I:$I, $I$8)&gt;0, 3, IF(COUNTIF(Sheet1!$J:$J, $I$8)&gt;0, 4, 0)))))), "")</f>
        <v/>
      </c>
    </row>
    <row r="616" spans="9:9" x14ac:dyDescent="0.25">
      <c r="I616" s="3" t="str" cm="1">
        <f t="array" ref="I616">IFERROR(IF(E616="", "", INDEX(Sheet1!$G:$J, MATCH(E616, Sheet1!$C:$C, 0), IF(COUNTIF(Sheet1!$G:$G, $I$8)&gt;0, 1, IF(COUNTIF(Sheet1!$H:$H, $I$8)&gt;0, 2, IF(COUNTIF(Sheet1!$I:$I, $I$8)&gt;0, 3, IF(COUNTIF(Sheet1!$J:$J, $I$8)&gt;0, 4, 0)))))), "")</f>
        <v/>
      </c>
    </row>
    <row r="617" spans="9:9" x14ac:dyDescent="0.25">
      <c r="I617" s="3" t="str" cm="1">
        <f t="array" ref="I617">IFERROR(IF(E617="", "", INDEX(Sheet1!$G:$J, MATCH(E617, Sheet1!$C:$C, 0), IF(COUNTIF(Sheet1!$G:$G, $I$8)&gt;0, 1, IF(COUNTIF(Sheet1!$H:$H, $I$8)&gt;0, 2, IF(COUNTIF(Sheet1!$I:$I, $I$8)&gt;0, 3, IF(COUNTIF(Sheet1!$J:$J, $I$8)&gt;0, 4, 0)))))), "")</f>
        <v/>
      </c>
    </row>
    <row r="618" spans="9:9" x14ac:dyDescent="0.25">
      <c r="I618" s="3" t="str" cm="1">
        <f t="array" ref="I618">IFERROR(IF(E618="", "", INDEX(Sheet1!$G:$J, MATCH(E618, Sheet1!$C:$C, 0), IF(COUNTIF(Sheet1!$G:$G, $I$8)&gt;0, 1, IF(COUNTIF(Sheet1!$H:$H, $I$8)&gt;0, 2, IF(COUNTIF(Sheet1!$I:$I, $I$8)&gt;0, 3, IF(COUNTIF(Sheet1!$J:$J, $I$8)&gt;0, 4, 0)))))), "")</f>
        <v/>
      </c>
    </row>
    <row r="619" spans="9:9" x14ac:dyDescent="0.25">
      <c r="I619" s="3" t="str" cm="1">
        <f t="array" ref="I619">IFERROR(IF(E619="", "", INDEX(Sheet1!$G:$J, MATCH(E619, Sheet1!$C:$C, 0), IF(COUNTIF(Sheet1!$G:$G, $I$8)&gt;0, 1, IF(COUNTIF(Sheet1!$H:$H, $I$8)&gt;0, 2, IF(COUNTIF(Sheet1!$I:$I, $I$8)&gt;0, 3, IF(COUNTIF(Sheet1!$J:$J, $I$8)&gt;0, 4, 0)))))), "")</f>
        <v/>
      </c>
    </row>
    <row r="620" spans="9:9" x14ac:dyDescent="0.25">
      <c r="I620" s="3" t="str" cm="1">
        <f t="array" ref="I620">IFERROR(IF(E620="", "", INDEX(Sheet1!$G:$J, MATCH(E620, Sheet1!$C:$C, 0), IF(COUNTIF(Sheet1!$G:$G, $I$8)&gt;0, 1, IF(COUNTIF(Sheet1!$H:$H, $I$8)&gt;0, 2, IF(COUNTIF(Sheet1!$I:$I, $I$8)&gt;0, 3, IF(COUNTIF(Sheet1!$J:$J, $I$8)&gt;0, 4, 0)))))), "")</f>
        <v/>
      </c>
    </row>
    <row r="621" spans="9:9" x14ac:dyDescent="0.25">
      <c r="I621" s="3" t="str" cm="1">
        <f t="array" ref="I621">IFERROR(IF(E621="", "", INDEX(Sheet1!$G:$J, MATCH(E621, Sheet1!$C:$C, 0), IF(COUNTIF(Sheet1!$G:$G, $I$8)&gt;0, 1, IF(COUNTIF(Sheet1!$H:$H, $I$8)&gt;0, 2, IF(COUNTIF(Sheet1!$I:$I, $I$8)&gt;0, 3, IF(COUNTIF(Sheet1!$J:$J, $I$8)&gt;0, 4, 0)))))), "")</f>
        <v/>
      </c>
    </row>
    <row r="622" spans="9:9" x14ac:dyDescent="0.25">
      <c r="I622" s="3" t="str" cm="1">
        <f t="array" ref="I622">IFERROR(IF(E622="", "", INDEX(Sheet1!$G:$J, MATCH(E622, Sheet1!$C:$C, 0), IF(COUNTIF(Sheet1!$G:$G, $I$8)&gt;0, 1, IF(COUNTIF(Sheet1!$H:$H, $I$8)&gt;0, 2, IF(COUNTIF(Sheet1!$I:$I, $I$8)&gt;0, 3, IF(COUNTIF(Sheet1!$J:$J, $I$8)&gt;0, 4, 0)))))), "")</f>
        <v/>
      </c>
    </row>
    <row r="623" spans="9:9" x14ac:dyDescent="0.25">
      <c r="I623" s="3" t="str" cm="1">
        <f t="array" ref="I623">IFERROR(IF(E623="", "", INDEX(Sheet1!$G:$J, MATCH(E623, Sheet1!$C:$C, 0), IF(COUNTIF(Sheet1!$G:$G, $I$8)&gt;0, 1, IF(COUNTIF(Sheet1!$H:$H, $I$8)&gt;0, 2, IF(COUNTIF(Sheet1!$I:$I, $I$8)&gt;0, 3, IF(COUNTIF(Sheet1!$J:$J, $I$8)&gt;0, 4, 0)))))), "")</f>
        <v/>
      </c>
    </row>
    <row r="624" spans="9:9" x14ac:dyDescent="0.25">
      <c r="I624" s="3" t="str" cm="1">
        <f t="array" ref="I624">IFERROR(IF(E624="", "", INDEX(Sheet1!$G:$J, MATCH(E624, Sheet1!$C:$C, 0), IF(COUNTIF(Sheet1!$G:$G, $I$8)&gt;0, 1, IF(COUNTIF(Sheet1!$H:$H, $I$8)&gt;0, 2, IF(COUNTIF(Sheet1!$I:$I, $I$8)&gt;0, 3, IF(COUNTIF(Sheet1!$J:$J, $I$8)&gt;0, 4, 0)))))), "")</f>
        <v/>
      </c>
    </row>
    <row r="625" spans="9:9" x14ac:dyDescent="0.25">
      <c r="I625" s="3" t="str" cm="1">
        <f t="array" ref="I625">IFERROR(IF(E625="", "", INDEX(Sheet1!$G:$J, MATCH(E625, Sheet1!$C:$C, 0), IF(COUNTIF(Sheet1!$G:$G, $I$8)&gt;0, 1, IF(COUNTIF(Sheet1!$H:$H, $I$8)&gt;0, 2, IF(COUNTIF(Sheet1!$I:$I, $I$8)&gt;0, 3, IF(COUNTIF(Sheet1!$J:$J, $I$8)&gt;0, 4, 0)))))), "")</f>
        <v/>
      </c>
    </row>
    <row r="626" spans="9:9" x14ac:dyDescent="0.25">
      <c r="I626" s="3" t="str" cm="1">
        <f t="array" ref="I626">IFERROR(IF(E626="", "", INDEX(Sheet1!$G:$J, MATCH(E626, Sheet1!$C:$C, 0), IF(COUNTIF(Sheet1!$G:$G, $I$8)&gt;0, 1, IF(COUNTIF(Sheet1!$H:$H, $I$8)&gt;0, 2, IF(COUNTIF(Sheet1!$I:$I, $I$8)&gt;0, 3, IF(COUNTIF(Sheet1!$J:$J, $I$8)&gt;0, 4, 0)))))), "")</f>
        <v/>
      </c>
    </row>
    <row r="627" spans="9:9" x14ac:dyDescent="0.25">
      <c r="I627" s="3" t="str" cm="1">
        <f t="array" ref="I627">IFERROR(IF(E627="", "", INDEX(Sheet1!$G:$J, MATCH(E627, Sheet1!$C:$C, 0), IF(COUNTIF(Sheet1!$G:$G, $I$8)&gt;0, 1, IF(COUNTIF(Sheet1!$H:$H, $I$8)&gt;0, 2, IF(COUNTIF(Sheet1!$I:$I, $I$8)&gt;0, 3, IF(COUNTIF(Sheet1!$J:$J, $I$8)&gt;0, 4, 0)))))), "")</f>
        <v/>
      </c>
    </row>
    <row r="628" spans="9:9" x14ac:dyDescent="0.25">
      <c r="I628" s="3" t="str" cm="1">
        <f t="array" ref="I628">IFERROR(IF(E628="", "", INDEX(Sheet1!$G:$J, MATCH(E628, Sheet1!$C:$C, 0), IF(COUNTIF(Sheet1!$G:$G, $I$8)&gt;0, 1, IF(COUNTIF(Sheet1!$H:$H, $I$8)&gt;0, 2, IF(COUNTIF(Sheet1!$I:$I, $I$8)&gt;0, 3, IF(COUNTIF(Sheet1!$J:$J, $I$8)&gt;0, 4, 0)))))), "")</f>
        <v/>
      </c>
    </row>
    <row r="629" spans="9:9" x14ac:dyDescent="0.25">
      <c r="I629" s="3" t="str" cm="1">
        <f t="array" ref="I629">IFERROR(IF(E629="", "", INDEX(Sheet1!$G:$J, MATCH(E629, Sheet1!$C:$C, 0), IF(COUNTIF(Sheet1!$G:$G, $I$8)&gt;0, 1, IF(COUNTIF(Sheet1!$H:$H, $I$8)&gt;0, 2, IF(COUNTIF(Sheet1!$I:$I, $I$8)&gt;0, 3, IF(COUNTIF(Sheet1!$J:$J, $I$8)&gt;0, 4, 0)))))), "")</f>
        <v/>
      </c>
    </row>
    <row r="630" spans="9:9" x14ac:dyDescent="0.25">
      <c r="I630" s="3" t="str" cm="1">
        <f t="array" ref="I630">IFERROR(IF(E630="", "", INDEX(Sheet1!$G:$J, MATCH(E630, Sheet1!$C:$C, 0), IF(COUNTIF(Sheet1!$G:$G, $I$8)&gt;0, 1, IF(COUNTIF(Sheet1!$H:$H, $I$8)&gt;0, 2, IF(COUNTIF(Sheet1!$I:$I, $I$8)&gt;0, 3, IF(COUNTIF(Sheet1!$J:$J, $I$8)&gt;0, 4, 0)))))), "")</f>
        <v/>
      </c>
    </row>
    <row r="631" spans="9:9" x14ac:dyDescent="0.25">
      <c r="I631" s="3" t="str" cm="1">
        <f t="array" ref="I631">IFERROR(IF(E631="", "", INDEX(Sheet1!$G:$J, MATCH(E631, Sheet1!$C:$C, 0), IF(COUNTIF(Sheet1!$G:$G, $I$8)&gt;0, 1, IF(COUNTIF(Sheet1!$H:$H, $I$8)&gt;0, 2, IF(COUNTIF(Sheet1!$I:$I, $I$8)&gt;0, 3, IF(COUNTIF(Sheet1!$J:$J, $I$8)&gt;0, 4, 0)))))), "")</f>
        <v/>
      </c>
    </row>
    <row r="632" spans="9:9" x14ac:dyDescent="0.25">
      <c r="I632" s="3" t="str" cm="1">
        <f t="array" ref="I632">IFERROR(IF(E632="", "", INDEX(Sheet1!$G:$J, MATCH(E632, Sheet1!$C:$C, 0), IF(COUNTIF(Sheet1!$G:$G, $I$8)&gt;0, 1, IF(COUNTIF(Sheet1!$H:$H, $I$8)&gt;0, 2, IF(COUNTIF(Sheet1!$I:$I, $I$8)&gt;0, 3, IF(COUNTIF(Sheet1!$J:$J, $I$8)&gt;0, 4, 0)))))), "")</f>
        <v/>
      </c>
    </row>
    <row r="633" spans="9:9" x14ac:dyDescent="0.25">
      <c r="I633" s="3" t="str" cm="1">
        <f t="array" ref="I633">IFERROR(IF(E633="", "", INDEX(Sheet1!$G:$J, MATCH(E633, Sheet1!$C:$C, 0), IF(COUNTIF(Sheet1!$G:$G, $I$8)&gt;0, 1, IF(COUNTIF(Sheet1!$H:$H, $I$8)&gt;0, 2, IF(COUNTIF(Sheet1!$I:$I, $I$8)&gt;0, 3, IF(COUNTIF(Sheet1!$J:$J, $I$8)&gt;0, 4, 0)))))), "")</f>
        <v/>
      </c>
    </row>
    <row r="634" spans="9:9" x14ac:dyDescent="0.25">
      <c r="I634" s="3" t="str" cm="1">
        <f t="array" ref="I634">IFERROR(IF(E634="", "", INDEX(Sheet1!$G:$J, MATCH(E634, Sheet1!$C:$C, 0), IF(COUNTIF(Sheet1!$G:$G, $I$8)&gt;0, 1, IF(COUNTIF(Sheet1!$H:$H, $I$8)&gt;0, 2, IF(COUNTIF(Sheet1!$I:$I, $I$8)&gt;0, 3, IF(COUNTIF(Sheet1!$J:$J, $I$8)&gt;0, 4, 0)))))), "")</f>
        <v/>
      </c>
    </row>
    <row r="635" spans="9:9" x14ac:dyDescent="0.25">
      <c r="I635" s="3" t="str" cm="1">
        <f t="array" ref="I635">IFERROR(IF(E635="", "", INDEX(Sheet1!$G:$J, MATCH(E635, Sheet1!$C:$C, 0), IF(COUNTIF(Sheet1!$G:$G, $I$8)&gt;0, 1, IF(COUNTIF(Sheet1!$H:$H, $I$8)&gt;0, 2, IF(COUNTIF(Sheet1!$I:$I, $I$8)&gt;0, 3, IF(COUNTIF(Sheet1!$J:$J, $I$8)&gt;0, 4, 0)))))), "")</f>
        <v/>
      </c>
    </row>
    <row r="636" spans="9:9" x14ac:dyDescent="0.25">
      <c r="I636" s="3" t="str" cm="1">
        <f t="array" ref="I636">IFERROR(IF(E636="", "", INDEX(Sheet1!$G:$J, MATCH(E636, Sheet1!$C:$C, 0), IF(COUNTIF(Sheet1!$G:$G, $I$8)&gt;0, 1, IF(COUNTIF(Sheet1!$H:$H, $I$8)&gt;0, 2, IF(COUNTIF(Sheet1!$I:$I, $I$8)&gt;0, 3, IF(COUNTIF(Sheet1!$J:$J, $I$8)&gt;0, 4, 0)))))), "")</f>
        <v/>
      </c>
    </row>
    <row r="637" spans="9:9" x14ac:dyDescent="0.25">
      <c r="I637" s="3" t="str" cm="1">
        <f t="array" ref="I637">IFERROR(IF(E637="", "", INDEX(Sheet1!$G:$J, MATCH(E637, Sheet1!$C:$C, 0), IF(COUNTIF(Sheet1!$G:$G, $I$8)&gt;0, 1, IF(COUNTIF(Sheet1!$H:$H, $I$8)&gt;0, 2, IF(COUNTIF(Sheet1!$I:$I, $I$8)&gt;0, 3, IF(COUNTIF(Sheet1!$J:$J, $I$8)&gt;0, 4, 0)))))), "")</f>
        <v/>
      </c>
    </row>
    <row r="638" spans="9:9" x14ac:dyDescent="0.25">
      <c r="I638" s="3" t="str" cm="1">
        <f t="array" ref="I638">IFERROR(IF(E638="", "", INDEX(Sheet1!$G:$J, MATCH(E638, Sheet1!$C:$C, 0), IF(COUNTIF(Sheet1!$G:$G, $I$8)&gt;0, 1, IF(COUNTIF(Sheet1!$H:$H, $I$8)&gt;0, 2, IF(COUNTIF(Sheet1!$I:$I, $I$8)&gt;0, 3, IF(COUNTIF(Sheet1!$J:$J, $I$8)&gt;0, 4, 0)))))), "")</f>
        <v/>
      </c>
    </row>
    <row r="639" spans="9:9" x14ac:dyDescent="0.25">
      <c r="I639" s="3" t="str" cm="1">
        <f t="array" ref="I639">IFERROR(IF(E639="", "", INDEX(Sheet1!$G:$J, MATCH(E639, Sheet1!$C:$C, 0), IF(COUNTIF(Sheet1!$G:$G, $I$8)&gt;0, 1, IF(COUNTIF(Sheet1!$H:$H, $I$8)&gt;0, 2, IF(COUNTIF(Sheet1!$I:$I, $I$8)&gt;0, 3, IF(COUNTIF(Sheet1!$J:$J, $I$8)&gt;0, 4, 0)))))), "")</f>
        <v/>
      </c>
    </row>
    <row r="640" spans="9:9" x14ac:dyDescent="0.25">
      <c r="I640" s="3" t="str" cm="1">
        <f t="array" ref="I640">IFERROR(IF(E640="", "", INDEX(Sheet1!$G:$J, MATCH(E640, Sheet1!$C:$C, 0), IF(COUNTIF(Sheet1!$G:$G, $I$8)&gt;0, 1, IF(COUNTIF(Sheet1!$H:$H, $I$8)&gt;0, 2, IF(COUNTIF(Sheet1!$I:$I, $I$8)&gt;0, 3, IF(COUNTIF(Sheet1!$J:$J, $I$8)&gt;0, 4, 0)))))), "")</f>
        <v/>
      </c>
    </row>
    <row r="641" spans="9:9" x14ac:dyDescent="0.25">
      <c r="I641" s="3" t="str" cm="1">
        <f t="array" ref="I641">IFERROR(IF(E641="", "", INDEX(Sheet1!$G:$J, MATCH(E641, Sheet1!$C:$C, 0), IF(COUNTIF(Sheet1!$G:$G, $I$8)&gt;0, 1, IF(COUNTIF(Sheet1!$H:$H, $I$8)&gt;0, 2, IF(COUNTIF(Sheet1!$I:$I, $I$8)&gt;0, 3, IF(COUNTIF(Sheet1!$J:$J, $I$8)&gt;0, 4, 0)))))), "")</f>
        <v/>
      </c>
    </row>
    <row r="642" spans="9:9" x14ac:dyDescent="0.25">
      <c r="I642" s="3" t="str" cm="1">
        <f t="array" ref="I642">IFERROR(IF(E642="", "", INDEX(Sheet1!$G:$J, MATCH(E642, Sheet1!$C:$C, 0), IF(COUNTIF(Sheet1!$G:$G, $I$8)&gt;0, 1, IF(COUNTIF(Sheet1!$H:$H, $I$8)&gt;0, 2, IF(COUNTIF(Sheet1!$I:$I, $I$8)&gt;0, 3, IF(COUNTIF(Sheet1!$J:$J, $I$8)&gt;0, 4, 0)))))), "")</f>
        <v/>
      </c>
    </row>
    <row r="643" spans="9:9" x14ac:dyDescent="0.25">
      <c r="I643" s="3" t="str" cm="1">
        <f t="array" ref="I643">IFERROR(IF(E643="", "", INDEX(Sheet1!$G:$J, MATCH(E643, Sheet1!$C:$C, 0), IF(COUNTIF(Sheet1!$G:$G, $I$8)&gt;0, 1, IF(COUNTIF(Sheet1!$H:$H, $I$8)&gt;0, 2, IF(COUNTIF(Sheet1!$I:$I, $I$8)&gt;0, 3, IF(COUNTIF(Sheet1!$J:$J, $I$8)&gt;0, 4, 0)))))), "")</f>
        <v/>
      </c>
    </row>
    <row r="644" spans="9:9" x14ac:dyDescent="0.25">
      <c r="I644" s="3" t="str" cm="1">
        <f t="array" ref="I644">IFERROR(IF(E644="", "", INDEX(Sheet1!$G:$J, MATCH(E644, Sheet1!$C:$C, 0), IF(COUNTIF(Sheet1!$G:$G, $I$8)&gt;0, 1, IF(COUNTIF(Sheet1!$H:$H, $I$8)&gt;0, 2, IF(COUNTIF(Sheet1!$I:$I, $I$8)&gt;0, 3, IF(COUNTIF(Sheet1!$J:$J, $I$8)&gt;0, 4, 0)))))), "")</f>
        <v/>
      </c>
    </row>
    <row r="645" spans="9:9" x14ac:dyDescent="0.25">
      <c r="I645" s="3" t="str" cm="1">
        <f t="array" ref="I645">IFERROR(IF(E645="", "", INDEX(Sheet1!$G:$J, MATCH(E645, Sheet1!$C:$C, 0), IF(COUNTIF(Sheet1!$G:$G, $I$8)&gt;0, 1, IF(COUNTIF(Sheet1!$H:$H, $I$8)&gt;0, 2, IF(COUNTIF(Sheet1!$I:$I, $I$8)&gt;0, 3, IF(COUNTIF(Sheet1!$J:$J, $I$8)&gt;0, 4, 0)))))), "")</f>
        <v/>
      </c>
    </row>
    <row r="646" spans="9:9" x14ac:dyDescent="0.25">
      <c r="I646" s="3" t="str" cm="1">
        <f t="array" ref="I646">IFERROR(IF(E646="", "", INDEX(Sheet1!$G:$J, MATCH(E646, Sheet1!$C:$C, 0), IF(COUNTIF(Sheet1!$G:$G, $I$8)&gt;0, 1, IF(COUNTIF(Sheet1!$H:$H, $I$8)&gt;0, 2, IF(COUNTIF(Sheet1!$I:$I, $I$8)&gt;0, 3, IF(COUNTIF(Sheet1!$J:$J, $I$8)&gt;0, 4, 0)))))), "")</f>
        <v/>
      </c>
    </row>
    <row r="647" spans="9:9" x14ac:dyDescent="0.25">
      <c r="I647" s="3" t="str" cm="1">
        <f t="array" ref="I647">IFERROR(IF(E647="", "", INDEX(Sheet1!$G:$J, MATCH(E647, Sheet1!$C:$C, 0), IF(COUNTIF(Sheet1!$G:$G, $I$8)&gt;0, 1, IF(COUNTIF(Sheet1!$H:$H, $I$8)&gt;0, 2, IF(COUNTIF(Sheet1!$I:$I, $I$8)&gt;0, 3, IF(COUNTIF(Sheet1!$J:$J, $I$8)&gt;0, 4, 0)))))), "")</f>
        <v/>
      </c>
    </row>
    <row r="648" spans="9:9" x14ac:dyDescent="0.25">
      <c r="I648" s="3" t="str" cm="1">
        <f t="array" ref="I648">IFERROR(IF(E648="", "", INDEX(Sheet1!$G:$J, MATCH(E648, Sheet1!$C:$C, 0), IF(COUNTIF(Sheet1!$G:$G, $I$8)&gt;0, 1, IF(COUNTIF(Sheet1!$H:$H, $I$8)&gt;0, 2, IF(COUNTIF(Sheet1!$I:$I, $I$8)&gt;0, 3, IF(COUNTIF(Sheet1!$J:$J, $I$8)&gt;0, 4, 0)))))), "")</f>
        <v/>
      </c>
    </row>
    <row r="649" spans="9:9" x14ac:dyDescent="0.25">
      <c r="I649" s="3" t="str" cm="1">
        <f t="array" ref="I649">IFERROR(IF(E649="", "", INDEX(Sheet1!$G:$J, MATCH(E649, Sheet1!$C:$C, 0), IF(COUNTIF(Sheet1!$G:$G, $I$8)&gt;0, 1, IF(COUNTIF(Sheet1!$H:$H, $I$8)&gt;0, 2, IF(COUNTIF(Sheet1!$I:$I, $I$8)&gt;0, 3, IF(COUNTIF(Sheet1!$J:$J, $I$8)&gt;0, 4, 0)))))), "")</f>
        <v/>
      </c>
    </row>
    <row r="650" spans="9:9" x14ac:dyDescent="0.25">
      <c r="I650" s="3" t="str" cm="1">
        <f t="array" ref="I650">IFERROR(IF(E650="", "", INDEX(Sheet1!$G:$J, MATCH(E650, Sheet1!$C:$C, 0), IF(COUNTIF(Sheet1!$G:$G, $I$8)&gt;0, 1, IF(COUNTIF(Sheet1!$H:$H, $I$8)&gt;0, 2, IF(COUNTIF(Sheet1!$I:$I, $I$8)&gt;0, 3, IF(COUNTIF(Sheet1!$J:$J, $I$8)&gt;0, 4, 0)))))), "")</f>
        <v/>
      </c>
    </row>
    <row r="651" spans="9:9" x14ac:dyDescent="0.25">
      <c r="I651" s="3" t="str" cm="1">
        <f t="array" ref="I651">IFERROR(IF(E651="", "", INDEX(Sheet1!$G:$J, MATCH(E651, Sheet1!$C:$C, 0), IF(COUNTIF(Sheet1!$G:$G, $I$8)&gt;0, 1, IF(COUNTIF(Sheet1!$H:$H, $I$8)&gt;0, 2, IF(COUNTIF(Sheet1!$I:$I, $I$8)&gt;0, 3, IF(COUNTIF(Sheet1!$J:$J, $I$8)&gt;0, 4, 0)))))), "")</f>
        <v/>
      </c>
    </row>
    <row r="652" spans="9:9" x14ac:dyDescent="0.25">
      <c r="I652" s="3" t="str" cm="1">
        <f t="array" ref="I652">IFERROR(IF(E652="", "", INDEX(Sheet1!$G:$J, MATCH(E652, Sheet1!$C:$C, 0), IF(COUNTIF(Sheet1!$G:$G, $I$8)&gt;0, 1, IF(COUNTIF(Sheet1!$H:$H, $I$8)&gt;0, 2, IF(COUNTIF(Sheet1!$I:$I, $I$8)&gt;0, 3, IF(COUNTIF(Sheet1!$J:$J, $I$8)&gt;0, 4, 0)))))), "")</f>
        <v/>
      </c>
    </row>
    <row r="653" spans="9:9" x14ac:dyDescent="0.25">
      <c r="I653" s="3" t="str" cm="1">
        <f t="array" ref="I653">IFERROR(IF(E653="", "", INDEX(Sheet1!$G:$J, MATCH(E653, Sheet1!$C:$C, 0), IF(COUNTIF(Sheet1!$G:$G, $I$8)&gt;0, 1, IF(COUNTIF(Sheet1!$H:$H, $I$8)&gt;0, 2, IF(COUNTIF(Sheet1!$I:$I, $I$8)&gt;0, 3, IF(COUNTIF(Sheet1!$J:$J, $I$8)&gt;0, 4, 0)))))), "")</f>
        <v/>
      </c>
    </row>
    <row r="654" spans="9:9" x14ac:dyDescent="0.25">
      <c r="I654" s="3" t="str" cm="1">
        <f t="array" ref="I654">IFERROR(IF(E654="", "", INDEX(Sheet1!$G:$J, MATCH(E654, Sheet1!$C:$C, 0), IF(COUNTIF(Sheet1!$G:$G, $I$8)&gt;0, 1, IF(COUNTIF(Sheet1!$H:$H, $I$8)&gt;0, 2, IF(COUNTIF(Sheet1!$I:$I, $I$8)&gt;0, 3, IF(COUNTIF(Sheet1!$J:$J, $I$8)&gt;0, 4, 0)))))), "")</f>
        <v/>
      </c>
    </row>
    <row r="655" spans="9:9" x14ac:dyDescent="0.25">
      <c r="I655" s="3" t="str" cm="1">
        <f t="array" ref="I655">IFERROR(IF(E655="", "", INDEX(Sheet1!$G:$J, MATCH(E655, Sheet1!$C:$C, 0), IF(COUNTIF(Sheet1!$G:$G, $I$8)&gt;0, 1, IF(COUNTIF(Sheet1!$H:$H, $I$8)&gt;0, 2, IF(COUNTIF(Sheet1!$I:$I, $I$8)&gt;0, 3, IF(COUNTIF(Sheet1!$J:$J, $I$8)&gt;0, 4, 0)))))), "")</f>
        <v/>
      </c>
    </row>
    <row r="656" spans="9:9" x14ac:dyDescent="0.25">
      <c r="I656" s="3" t="str" cm="1">
        <f t="array" ref="I656">IFERROR(IF(E656="", "", INDEX(Sheet1!$G:$J, MATCH(E656, Sheet1!$C:$C, 0), IF(COUNTIF(Sheet1!$G:$G, $I$8)&gt;0, 1, IF(COUNTIF(Sheet1!$H:$H, $I$8)&gt;0, 2, IF(COUNTIF(Sheet1!$I:$I, $I$8)&gt;0, 3, IF(COUNTIF(Sheet1!$J:$J, $I$8)&gt;0, 4, 0)))))), "")</f>
        <v/>
      </c>
    </row>
    <row r="657" spans="9:9" x14ac:dyDescent="0.25">
      <c r="I657" s="3" t="str" cm="1">
        <f t="array" ref="I657">IFERROR(IF(E657="", "", INDEX(Sheet1!$G:$J, MATCH(E657, Sheet1!$C:$C, 0), IF(COUNTIF(Sheet1!$G:$G, $I$8)&gt;0, 1, IF(COUNTIF(Sheet1!$H:$H, $I$8)&gt;0, 2, IF(COUNTIF(Sheet1!$I:$I, $I$8)&gt;0, 3, IF(COUNTIF(Sheet1!$J:$J, $I$8)&gt;0, 4, 0)))))), "")</f>
        <v/>
      </c>
    </row>
    <row r="658" spans="9:9" x14ac:dyDescent="0.25">
      <c r="I658" s="3" t="str" cm="1">
        <f t="array" ref="I658">IFERROR(IF(E658="", "", INDEX(Sheet1!$G:$J, MATCH(E658, Sheet1!$C:$C, 0), IF(COUNTIF(Sheet1!$G:$G, $I$8)&gt;0, 1, IF(COUNTIF(Sheet1!$H:$H, $I$8)&gt;0, 2, IF(COUNTIF(Sheet1!$I:$I, $I$8)&gt;0, 3, IF(COUNTIF(Sheet1!$J:$J, $I$8)&gt;0, 4, 0)))))), "")</f>
        <v/>
      </c>
    </row>
    <row r="659" spans="9:9" x14ac:dyDescent="0.25">
      <c r="I659" s="3" t="str" cm="1">
        <f t="array" ref="I659">IFERROR(IF(E659="", "", INDEX(Sheet1!$G:$J, MATCH(E659, Sheet1!$C:$C, 0), IF(COUNTIF(Sheet1!$G:$G, $I$8)&gt;0, 1, IF(COUNTIF(Sheet1!$H:$H, $I$8)&gt;0, 2, IF(COUNTIF(Sheet1!$I:$I, $I$8)&gt;0, 3, IF(COUNTIF(Sheet1!$J:$J, $I$8)&gt;0, 4, 0)))))), "")</f>
        <v/>
      </c>
    </row>
    <row r="660" spans="9:9" x14ac:dyDescent="0.25">
      <c r="I660" s="3" t="str" cm="1">
        <f t="array" ref="I660">IFERROR(IF(E660="", "", INDEX(Sheet1!$G:$J, MATCH(E660, Sheet1!$C:$C, 0), IF(COUNTIF(Sheet1!$G:$G, $I$8)&gt;0, 1, IF(COUNTIF(Sheet1!$H:$H, $I$8)&gt;0, 2, IF(COUNTIF(Sheet1!$I:$I, $I$8)&gt;0, 3, IF(COUNTIF(Sheet1!$J:$J, $I$8)&gt;0, 4, 0)))))), "")</f>
        <v/>
      </c>
    </row>
    <row r="661" spans="9:9" x14ac:dyDescent="0.25">
      <c r="I661" s="3" t="str" cm="1">
        <f t="array" ref="I661">IFERROR(IF(E661="", "", INDEX(Sheet1!$G:$J, MATCH(E661, Sheet1!$C:$C, 0), IF(COUNTIF(Sheet1!$G:$G, $I$8)&gt;0, 1, IF(COUNTIF(Sheet1!$H:$H, $I$8)&gt;0, 2, IF(COUNTIF(Sheet1!$I:$I, $I$8)&gt;0, 3, IF(COUNTIF(Sheet1!$J:$J, $I$8)&gt;0, 4, 0)))))), "")</f>
        <v/>
      </c>
    </row>
    <row r="662" spans="9:9" x14ac:dyDescent="0.25">
      <c r="I662" s="3" t="str" cm="1">
        <f t="array" ref="I662">IFERROR(IF(E662="", "", INDEX(Sheet1!$G:$J, MATCH(E662, Sheet1!$C:$C, 0), IF(COUNTIF(Sheet1!$G:$G, $I$8)&gt;0, 1, IF(COUNTIF(Sheet1!$H:$H, $I$8)&gt;0, 2, IF(COUNTIF(Sheet1!$I:$I, $I$8)&gt;0, 3, IF(COUNTIF(Sheet1!$J:$J, $I$8)&gt;0, 4, 0)))))), "")</f>
        <v/>
      </c>
    </row>
    <row r="663" spans="9:9" x14ac:dyDescent="0.25">
      <c r="I663" s="3" t="str" cm="1">
        <f t="array" ref="I663">IFERROR(IF(E663="", "", INDEX(Sheet1!$G:$J, MATCH(E663, Sheet1!$C:$C, 0), IF(COUNTIF(Sheet1!$G:$G, $I$8)&gt;0, 1, IF(COUNTIF(Sheet1!$H:$H, $I$8)&gt;0, 2, IF(COUNTIF(Sheet1!$I:$I, $I$8)&gt;0, 3, IF(COUNTIF(Sheet1!$J:$J, $I$8)&gt;0, 4, 0)))))), "")</f>
        <v/>
      </c>
    </row>
    <row r="664" spans="9:9" x14ac:dyDescent="0.25">
      <c r="I664" s="3" t="str" cm="1">
        <f t="array" ref="I664">IFERROR(IF(E664="", "", INDEX(Sheet1!$G:$J, MATCH(E664, Sheet1!$C:$C, 0), IF(COUNTIF(Sheet1!$G:$G, $I$8)&gt;0, 1, IF(COUNTIF(Sheet1!$H:$H, $I$8)&gt;0, 2, IF(COUNTIF(Sheet1!$I:$I, $I$8)&gt;0, 3, IF(COUNTIF(Sheet1!$J:$J, $I$8)&gt;0, 4, 0)))))), "")</f>
        <v/>
      </c>
    </row>
    <row r="665" spans="9:9" x14ac:dyDescent="0.25">
      <c r="I665" s="3" t="str" cm="1">
        <f t="array" ref="I665">IFERROR(IF(E665="", "", INDEX(Sheet1!$G:$J, MATCH(E665, Sheet1!$C:$C, 0), IF(COUNTIF(Sheet1!$G:$G, $I$8)&gt;0, 1, IF(COUNTIF(Sheet1!$H:$H, $I$8)&gt;0, 2, IF(COUNTIF(Sheet1!$I:$I, $I$8)&gt;0, 3, IF(COUNTIF(Sheet1!$J:$J, $I$8)&gt;0, 4, 0)))))), "")</f>
        <v/>
      </c>
    </row>
    <row r="666" spans="9:9" x14ac:dyDescent="0.25">
      <c r="I666" s="3" t="str" cm="1">
        <f t="array" ref="I666">IFERROR(IF(E666="", "", INDEX(Sheet1!$G:$J, MATCH(E666, Sheet1!$C:$C, 0), IF(COUNTIF(Sheet1!$G:$G, $I$8)&gt;0, 1, IF(COUNTIF(Sheet1!$H:$H, $I$8)&gt;0, 2, IF(COUNTIF(Sheet1!$I:$I, $I$8)&gt;0, 3, IF(COUNTIF(Sheet1!$J:$J, $I$8)&gt;0, 4, 0)))))), "")</f>
        <v/>
      </c>
    </row>
    <row r="667" spans="9:9" x14ac:dyDescent="0.25">
      <c r="I667" s="3" t="str" cm="1">
        <f t="array" ref="I667">IFERROR(IF(E667="", "", INDEX(Sheet1!$G:$J, MATCH(E667, Sheet1!$C:$C, 0), IF(COUNTIF(Sheet1!$G:$G, $I$8)&gt;0, 1, IF(COUNTIF(Sheet1!$H:$H, $I$8)&gt;0, 2, IF(COUNTIF(Sheet1!$I:$I, $I$8)&gt;0, 3, IF(COUNTIF(Sheet1!$J:$J, $I$8)&gt;0, 4, 0)))))), "")</f>
        <v/>
      </c>
    </row>
    <row r="668" spans="9:9" x14ac:dyDescent="0.25">
      <c r="I668" s="3" t="str" cm="1">
        <f t="array" ref="I668">IFERROR(IF(E668="", "", INDEX(Sheet1!$G:$J, MATCH(E668, Sheet1!$C:$C, 0), IF(COUNTIF(Sheet1!$G:$G, $I$8)&gt;0, 1, IF(COUNTIF(Sheet1!$H:$H, $I$8)&gt;0, 2, IF(COUNTIF(Sheet1!$I:$I, $I$8)&gt;0, 3, IF(COUNTIF(Sheet1!$J:$J, $I$8)&gt;0, 4, 0)))))), "")</f>
        <v/>
      </c>
    </row>
    <row r="669" spans="9:9" x14ac:dyDescent="0.25">
      <c r="I669" s="3" t="str" cm="1">
        <f t="array" ref="I669">IFERROR(IF(E669="", "", INDEX(Sheet1!$G:$J, MATCH(E669, Sheet1!$C:$C, 0), IF(COUNTIF(Sheet1!$G:$G, $I$8)&gt;0, 1, IF(COUNTIF(Sheet1!$H:$H, $I$8)&gt;0, 2, IF(COUNTIF(Sheet1!$I:$I, $I$8)&gt;0, 3, IF(COUNTIF(Sheet1!$J:$J, $I$8)&gt;0, 4, 0)))))), "")</f>
        <v/>
      </c>
    </row>
    <row r="670" spans="9:9" x14ac:dyDescent="0.25">
      <c r="I670" s="3" t="str" cm="1">
        <f t="array" ref="I670">IFERROR(IF(E670="", "", INDEX(Sheet1!$G:$J, MATCH(E670, Sheet1!$C:$C, 0), IF(COUNTIF(Sheet1!$G:$G, $I$8)&gt;0, 1, IF(COUNTIF(Sheet1!$H:$H, $I$8)&gt;0, 2, IF(COUNTIF(Sheet1!$I:$I, $I$8)&gt;0, 3, IF(COUNTIF(Sheet1!$J:$J, $I$8)&gt;0, 4, 0)))))), "")</f>
        <v/>
      </c>
    </row>
    <row r="671" spans="9:9" x14ac:dyDescent="0.25">
      <c r="I671" s="3" t="str" cm="1">
        <f t="array" ref="I671">IFERROR(IF(E671="", "", INDEX(Sheet1!$G:$J, MATCH(E671, Sheet1!$C:$C, 0), IF(COUNTIF(Sheet1!$G:$G, $I$8)&gt;0, 1, IF(COUNTIF(Sheet1!$H:$H, $I$8)&gt;0, 2, IF(COUNTIF(Sheet1!$I:$I, $I$8)&gt;0, 3, IF(COUNTIF(Sheet1!$J:$J, $I$8)&gt;0, 4, 0)))))), "")</f>
        <v/>
      </c>
    </row>
    <row r="672" spans="9:9" x14ac:dyDescent="0.25">
      <c r="I672" s="3" t="str" cm="1">
        <f t="array" ref="I672">IFERROR(IF(E672="", "", INDEX(Sheet1!$G:$J, MATCH(E672, Sheet1!$C:$C, 0), IF(COUNTIF(Sheet1!$G:$G, $I$8)&gt;0, 1, IF(COUNTIF(Sheet1!$H:$H, $I$8)&gt;0, 2, IF(COUNTIF(Sheet1!$I:$I, $I$8)&gt;0, 3, IF(COUNTIF(Sheet1!$J:$J, $I$8)&gt;0, 4, 0)))))), "")</f>
        <v/>
      </c>
    </row>
    <row r="673" spans="9:9" x14ac:dyDescent="0.25">
      <c r="I673" s="3" t="str" cm="1">
        <f t="array" ref="I673">IFERROR(IF(E673="", "", INDEX(Sheet1!$G:$J, MATCH(E673, Sheet1!$C:$C, 0), IF(COUNTIF(Sheet1!$G:$G, $I$8)&gt;0, 1, IF(COUNTIF(Sheet1!$H:$H, $I$8)&gt;0, 2, IF(COUNTIF(Sheet1!$I:$I, $I$8)&gt;0, 3, IF(COUNTIF(Sheet1!$J:$J, $I$8)&gt;0, 4, 0)))))), "")</f>
        <v/>
      </c>
    </row>
    <row r="674" spans="9:9" x14ac:dyDescent="0.25">
      <c r="I674" s="3" t="str" cm="1">
        <f t="array" ref="I674">IFERROR(IF(E674="", "", INDEX(Sheet1!$G:$J, MATCH(E674, Sheet1!$C:$C, 0), IF(COUNTIF(Sheet1!$G:$G, $I$8)&gt;0, 1, IF(COUNTIF(Sheet1!$H:$H, $I$8)&gt;0, 2, IF(COUNTIF(Sheet1!$I:$I, $I$8)&gt;0, 3, IF(COUNTIF(Sheet1!$J:$J, $I$8)&gt;0, 4, 0)))))), "")</f>
        <v/>
      </c>
    </row>
    <row r="675" spans="9:9" x14ac:dyDescent="0.25">
      <c r="I675" s="3" t="str" cm="1">
        <f t="array" ref="I675">IFERROR(IF(E675="", "", INDEX(Sheet1!$G:$J, MATCH(E675, Sheet1!$C:$C, 0), IF(COUNTIF(Sheet1!$G:$G, $I$8)&gt;0, 1, IF(COUNTIF(Sheet1!$H:$H, $I$8)&gt;0, 2, IF(COUNTIF(Sheet1!$I:$I, $I$8)&gt;0, 3, IF(COUNTIF(Sheet1!$J:$J, $I$8)&gt;0, 4, 0)))))), "")</f>
        <v/>
      </c>
    </row>
    <row r="676" spans="9:9" x14ac:dyDescent="0.25">
      <c r="I676" s="3" t="str" cm="1">
        <f t="array" ref="I676">IFERROR(IF(E676="", "", INDEX(Sheet1!$G:$J, MATCH(E676, Sheet1!$C:$C, 0), IF(COUNTIF(Sheet1!$G:$G, $I$8)&gt;0, 1, IF(COUNTIF(Sheet1!$H:$H, $I$8)&gt;0, 2, IF(COUNTIF(Sheet1!$I:$I, $I$8)&gt;0, 3, IF(COUNTIF(Sheet1!$J:$J, $I$8)&gt;0, 4, 0)))))), "")</f>
        <v/>
      </c>
    </row>
    <row r="677" spans="9:9" x14ac:dyDescent="0.25">
      <c r="I677" s="3" t="str" cm="1">
        <f t="array" ref="I677">IFERROR(IF(E677="", "", INDEX(Sheet1!$G:$J, MATCH(E677, Sheet1!$C:$C, 0), IF(COUNTIF(Sheet1!$G:$G, $I$8)&gt;0, 1, IF(COUNTIF(Sheet1!$H:$H, $I$8)&gt;0, 2, IF(COUNTIF(Sheet1!$I:$I, $I$8)&gt;0, 3, IF(COUNTIF(Sheet1!$J:$J, $I$8)&gt;0, 4, 0)))))), "")</f>
        <v/>
      </c>
    </row>
    <row r="678" spans="9:9" x14ac:dyDescent="0.25">
      <c r="I678" s="3" t="str" cm="1">
        <f t="array" ref="I678">IFERROR(IF(E678="", "", INDEX(Sheet1!$G:$J, MATCH(E678, Sheet1!$C:$C, 0), IF(COUNTIF(Sheet1!$G:$G, $I$8)&gt;0, 1, IF(COUNTIF(Sheet1!$H:$H, $I$8)&gt;0, 2, IF(COUNTIF(Sheet1!$I:$I, $I$8)&gt;0, 3, IF(COUNTIF(Sheet1!$J:$J, $I$8)&gt;0, 4, 0)))))), "")</f>
        <v/>
      </c>
    </row>
    <row r="679" spans="9:9" x14ac:dyDescent="0.25">
      <c r="I679" s="3" t="str" cm="1">
        <f t="array" ref="I679">IFERROR(IF(E679="", "", INDEX(Sheet1!$G:$J, MATCH(E679, Sheet1!$C:$C, 0), IF(COUNTIF(Sheet1!$G:$G, $I$8)&gt;0, 1, IF(COUNTIF(Sheet1!$H:$H, $I$8)&gt;0, 2, IF(COUNTIF(Sheet1!$I:$I, $I$8)&gt;0, 3, IF(COUNTIF(Sheet1!$J:$J, $I$8)&gt;0, 4, 0)))))), "")</f>
        <v/>
      </c>
    </row>
    <row r="680" spans="9:9" x14ac:dyDescent="0.25">
      <c r="I680" s="3" t="str" cm="1">
        <f t="array" ref="I680">IFERROR(IF(E680="", "", INDEX(Sheet1!$G:$J, MATCH(E680, Sheet1!$C:$C, 0), IF(COUNTIF(Sheet1!$G:$G, $I$8)&gt;0, 1, IF(COUNTIF(Sheet1!$H:$H, $I$8)&gt;0, 2, IF(COUNTIF(Sheet1!$I:$I, $I$8)&gt;0, 3, IF(COUNTIF(Sheet1!$J:$J, $I$8)&gt;0, 4, 0)))))), "")</f>
        <v/>
      </c>
    </row>
    <row r="681" spans="9:9" x14ac:dyDescent="0.25">
      <c r="I681" s="3" t="str" cm="1">
        <f t="array" ref="I681">IFERROR(IF(E681="", "", INDEX(Sheet1!$G:$J, MATCH(E681, Sheet1!$C:$C, 0), IF(COUNTIF(Sheet1!$G:$G, $I$8)&gt;0, 1, IF(COUNTIF(Sheet1!$H:$H, $I$8)&gt;0, 2, IF(COUNTIF(Sheet1!$I:$I, $I$8)&gt;0, 3, IF(COUNTIF(Sheet1!$J:$J, $I$8)&gt;0, 4, 0)))))), "")</f>
        <v/>
      </c>
    </row>
    <row r="682" spans="9:9" x14ac:dyDescent="0.25">
      <c r="I682" s="3" t="str" cm="1">
        <f t="array" ref="I682">IFERROR(IF(E682="", "", INDEX(Sheet1!$G:$J, MATCH(E682, Sheet1!$C:$C, 0), IF(COUNTIF(Sheet1!$G:$G, $I$8)&gt;0, 1, IF(COUNTIF(Sheet1!$H:$H, $I$8)&gt;0, 2, IF(COUNTIF(Sheet1!$I:$I, $I$8)&gt;0, 3, IF(COUNTIF(Sheet1!$J:$J, $I$8)&gt;0, 4, 0)))))), "")</f>
        <v/>
      </c>
    </row>
    <row r="683" spans="9:9" x14ac:dyDescent="0.25">
      <c r="I683" s="3" t="str" cm="1">
        <f t="array" ref="I683">IFERROR(IF(E683="", "", INDEX(Sheet1!$G:$J, MATCH(E683, Sheet1!$C:$C, 0), IF(COUNTIF(Sheet1!$G:$G, $I$8)&gt;0, 1, IF(COUNTIF(Sheet1!$H:$H, $I$8)&gt;0, 2, IF(COUNTIF(Sheet1!$I:$I, $I$8)&gt;0, 3, IF(COUNTIF(Sheet1!$J:$J, $I$8)&gt;0, 4, 0)))))), "")</f>
        <v/>
      </c>
    </row>
    <row r="684" spans="9:9" x14ac:dyDescent="0.25">
      <c r="I684" s="3" t="str" cm="1">
        <f t="array" ref="I684">IFERROR(IF(E684="", "", INDEX(Sheet1!$G:$J, MATCH(E684, Sheet1!$C:$C, 0), IF(COUNTIF(Sheet1!$G:$G, $I$8)&gt;0, 1, IF(COUNTIF(Sheet1!$H:$H, $I$8)&gt;0, 2, IF(COUNTIF(Sheet1!$I:$I, $I$8)&gt;0, 3, IF(COUNTIF(Sheet1!$J:$J, $I$8)&gt;0, 4, 0)))))), "")</f>
        <v/>
      </c>
    </row>
    <row r="685" spans="9:9" x14ac:dyDescent="0.25">
      <c r="I685" s="3" t="str" cm="1">
        <f t="array" ref="I685">IFERROR(IF(E685="", "", INDEX(Sheet1!$G:$J, MATCH(E685, Sheet1!$C:$C, 0), IF(COUNTIF(Sheet1!$G:$G, $I$8)&gt;0, 1, IF(COUNTIF(Sheet1!$H:$H, $I$8)&gt;0, 2, IF(COUNTIF(Sheet1!$I:$I, $I$8)&gt;0, 3, IF(COUNTIF(Sheet1!$J:$J, $I$8)&gt;0, 4, 0)))))), "")</f>
        <v/>
      </c>
    </row>
    <row r="686" spans="9:9" x14ac:dyDescent="0.25">
      <c r="I686" s="3" t="str" cm="1">
        <f t="array" ref="I686">IFERROR(IF(E686="", "", INDEX(Sheet1!$G:$J, MATCH(E686, Sheet1!$C:$C, 0), IF(COUNTIF(Sheet1!$G:$G, $I$8)&gt;0, 1, IF(COUNTIF(Sheet1!$H:$H, $I$8)&gt;0, 2, IF(COUNTIF(Sheet1!$I:$I, $I$8)&gt;0, 3, IF(COUNTIF(Sheet1!$J:$J, $I$8)&gt;0, 4, 0)))))), "")</f>
        <v/>
      </c>
    </row>
    <row r="687" spans="9:9" x14ac:dyDescent="0.25">
      <c r="I687" s="3" t="str" cm="1">
        <f t="array" ref="I687">IFERROR(IF(E687="", "", INDEX(Sheet1!$G:$J, MATCH(E687, Sheet1!$C:$C, 0), IF(COUNTIF(Sheet1!$G:$G, $I$8)&gt;0, 1, IF(COUNTIF(Sheet1!$H:$H, $I$8)&gt;0, 2, IF(COUNTIF(Sheet1!$I:$I, $I$8)&gt;0, 3, IF(COUNTIF(Sheet1!$J:$J, $I$8)&gt;0, 4, 0)))))), "")</f>
        <v/>
      </c>
    </row>
    <row r="688" spans="9:9" x14ac:dyDescent="0.25">
      <c r="I688" s="3" t="str" cm="1">
        <f t="array" ref="I688">IFERROR(IF(E688="", "", INDEX(Sheet1!$G:$J, MATCH(E688, Sheet1!$C:$C, 0), IF(COUNTIF(Sheet1!$G:$G, $I$8)&gt;0, 1, IF(COUNTIF(Sheet1!$H:$H, $I$8)&gt;0, 2, IF(COUNTIF(Sheet1!$I:$I, $I$8)&gt;0, 3, IF(COUNTIF(Sheet1!$J:$J, $I$8)&gt;0, 4, 0)))))), "")</f>
        <v/>
      </c>
    </row>
    <row r="689" spans="9:9" x14ac:dyDescent="0.25">
      <c r="I689" s="3" t="str" cm="1">
        <f t="array" ref="I689">IFERROR(IF(E689="", "", INDEX(Sheet1!$G:$J, MATCH(E689, Sheet1!$C:$C, 0), IF(COUNTIF(Sheet1!$G:$G, $I$8)&gt;0, 1, IF(COUNTIF(Sheet1!$H:$H, $I$8)&gt;0, 2, IF(COUNTIF(Sheet1!$I:$I, $I$8)&gt;0, 3, IF(COUNTIF(Sheet1!$J:$J, $I$8)&gt;0, 4, 0)))))), "")</f>
        <v/>
      </c>
    </row>
    <row r="690" spans="9:9" x14ac:dyDescent="0.25">
      <c r="I690" s="3" t="str" cm="1">
        <f t="array" ref="I690">IFERROR(IF(E690="", "", INDEX(Sheet1!$G:$J, MATCH(E690, Sheet1!$C:$C, 0), IF(COUNTIF(Sheet1!$G:$G, $I$8)&gt;0, 1, IF(COUNTIF(Sheet1!$H:$H, $I$8)&gt;0, 2, IF(COUNTIF(Sheet1!$I:$I, $I$8)&gt;0, 3, IF(COUNTIF(Sheet1!$J:$J, $I$8)&gt;0, 4, 0)))))), "")</f>
        <v/>
      </c>
    </row>
    <row r="691" spans="9:9" x14ac:dyDescent="0.25">
      <c r="I691" s="3" t="str" cm="1">
        <f t="array" ref="I691">IFERROR(IF(E691="", "", INDEX(Sheet1!$G:$J, MATCH(E691, Sheet1!$C:$C, 0), IF(COUNTIF(Sheet1!$G:$G, $I$8)&gt;0, 1, IF(COUNTIF(Sheet1!$H:$H, $I$8)&gt;0, 2, IF(COUNTIF(Sheet1!$I:$I, $I$8)&gt;0, 3, IF(COUNTIF(Sheet1!$J:$J, $I$8)&gt;0, 4, 0)))))), "")</f>
        <v/>
      </c>
    </row>
    <row r="692" spans="9:9" x14ac:dyDescent="0.25">
      <c r="I692" s="3" t="str" cm="1">
        <f t="array" ref="I692">IFERROR(IF(E692="", "", INDEX(Sheet1!$G:$J, MATCH(E692, Sheet1!$C:$C, 0), IF(COUNTIF(Sheet1!$G:$G, $I$8)&gt;0, 1, IF(COUNTIF(Sheet1!$H:$H, $I$8)&gt;0, 2, IF(COUNTIF(Sheet1!$I:$I, $I$8)&gt;0, 3, IF(COUNTIF(Sheet1!$J:$J, $I$8)&gt;0, 4, 0)))))), "")</f>
        <v/>
      </c>
    </row>
    <row r="693" spans="9:9" x14ac:dyDescent="0.25">
      <c r="I693" s="3" t="str" cm="1">
        <f t="array" ref="I693">IFERROR(IF(E693="", "", INDEX(Sheet1!$G:$J, MATCH(E693, Sheet1!$C:$C, 0), IF(COUNTIF(Sheet1!$G:$G, $I$8)&gt;0, 1, IF(COUNTIF(Sheet1!$H:$H, $I$8)&gt;0, 2, IF(COUNTIF(Sheet1!$I:$I, $I$8)&gt;0, 3, IF(COUNTIF(Sheet1!$J:$J, $I$8)&gt;0, 4, 0)))))), "")</f>
        <v/>
      </c>
    </row>
    <row r="694" spans="9:9" x14ac:dyDescent="0.25">
      <c r="I694" s="3" t="str" cm="1">
        <f t="array" ref="I694">IFERROR(IF(E694="", "", INDEX(Sheet1!$G:$J, MATCH(E694, Sheet1!$C:$C, 0), IF(COUNTIF(Sheet1!$G:$G, $I$8)&gt;0, 1, IF(COUNTIF(Sheet1!$H:$H, $I$8)&gt;0, 2, IF(COUNTIF(Sheet1!$I:$I, $I$8)&gt;0, 3, IF(COUNTIF(Sheet1!$J:$J, $I$8)&gt;0, 4, 0)))))), "")</f>
        <v/>
      </c>
    </row>
    <row r="695" spans="9:9" x14ac:dyDescent="0.25">
      <c r="I695" s="3" t="str" cm="1">
        <f t="array" ref="I695">IFERROR(IF(E695="", "", INDEX(Sheet1!$G:$J, MATCH(E695, Sheet1!$C:$C, 0), IF(COUNTIF(Sheet1!$G:$G, $I$8)&gt;0, 1, IF(COUNTIF(Sheet1!$H:$H, $I$8)&gt;0, 2, IF(COUNTIF(Sheet1!$I:$I, $I$8)&gt;0, 3, IF(COUNTIF(Sheet1!$J:$J, $I$8)&gt;0, 4, 0)))))), "")</f>
        <v/>
      </c>
    </row>
    <row r="696" spans="9:9" x14ac:dyDescent="0.25">
      <c r="I696" s="3" t="str" cm="1">
        <f t="array" ref="I696">IFERROR(IF(E696="", "", INDEX(Sheet1!$G:$J, MATCH(E696, Sheet1!$C:$C, 0), IF(COUNTIF(Sheet1!$G:$G, $I$8)&gt;0, 1, IF(COUNTIF(Sheet1!$H:$H, $I$8)&gt;0, 2, IF(COUNTIF(Sheet1!$I:$I, $I$8)&gt;0, 3, IF(COUNTIF(Sheet1!$J:$J, $I$8)&gt;0, 4, 0)))))), "")</f>
        <v/>
      </c>
    </row>
    <row r="697" spans="9:9" x14ac:dyDescent="0.25">
      <c r="I697" s="3" t="str" cm="1">
        <f t="array" ref="I697">IFERROR(IF(E697="", "", INDEX(Sheet1!$G:$J, MATCH(E697, Sheet1!$C:$C, 0), IF(COUNTIF(Sheet1!$G:$G, $I$8)&gt;0, 1, IF(COUNTIF(Sheet1!$H:$H, $I$8)&gt;0, 2, IF(COUNTIF(Sheet1!$I:$I, $I$8)&gt;0, 3, IF(COUNTIF(Sheet1!$J:$J, $I$8)&gt;0, 4, 0)))))), "")</f>
        <v/>
      </c>
    </row>
    <row r="698" spans="9:9" x14ac:dyDescent="0.25">
      <c r="I698" s="3" t="str" cm="1">
        <f t="array" ref="I698">IFERROR(IF(E698="", "", INDEX(Sheet1!$G:$J, MATCH(E698, Sheet1!$C:$C, 0), IF(COUNTIF(Sheet1!$G:$G, $I$8)&gt;0, 1, IF(COUNTIF(Sheet1!$H:$H, $I$8)&gt;0, 2, IF(COUNTIF(Sheet1!$I:$I, $I$8)&gt;0, 3, IF(COUNTIF(Sheet1!$J:$J, $I$8)&gt;0, 4, 0)))))), "")</f>
        <v/>
      </c>
    </row>
    <row r="699" spans="9:9" x14ac:dyDescent="0.25">
      <c r="I699" s="3" t="str" cm="1">
        <f t="array" ref="I699">IFERROR(IF(E699="", "", INDEX(Sheet1!$G:$J, MATCH(E699, Sheet1!$C:$C, 0), IF(COUNTIF(Sheet1!$G:$G, $I$8)&gt;0, 1, IF(COUNTIF(Sheet1!$H:$H, $I$8)&gt;0, 2, IF(COUNTIF(Sheet1!$I:$I, $I$8)&gt;0, 3, IF(COUNTIF(Sheet1!$J:$J, $I$8)&gt;0, 4, 0)))))), "")</f>
        <v/>
      </c>
    </row>
    <row r="700" spans="9:9" x14ac:dyDescent="0.25">
      <c r="I700" s="3" t="str" cm="1">
        <f t="array" ref="I700">IFERROR(IF(E700="", "", INDEX(Sheet1!$G:$J, MATCH(E700, Sheet1!$C:$C, 0), IF(COUNTIF(Sheet1!$G:$G, $I$8)&gt;0, 1, IF(COUNTIF(Sheet1!$H:$H, $I$8)&gt;0, 2, IF(COUNTIF(Sheet1!$I:$I, $I$8)&gt;0, 3, IF(COUNTIF(Sheet1!$J:$J, $I$8)&gt;0, 4, 0)))))), "")</f>
        <v/>
      </c>
    </row>
    <row r="701" spans="9:9" x14ac:dyDescent="0.25">
      <c r="I701" s="3" t="str" cm="1">
        <f t="array" ref="I701">IFERROR(IF(E701="", "", INDEX(Sheet1!$G:$J, MATCH(E701, Sheet1!$C:$C, 0), IF(COUNTIF(Sheet1!$G:$G, $I$8)&gt;0, 1, IF(COUNTIF(Sheet1!$H:$H, $I$8)&gt;0, 2, IF(COUNTIF(Sheet1!$I:$I, $I$8)&gt;0, 3, IF(COUNTIF(Sheet1!$J:$J, $I$8)&gt;0, 4, 0)))))), "")</f>
        <v/>
      </c>
    </row>
    <row r="702" spans="9:9" x14ac:dyDescent="0.25">
      <c r="I702" s="3" t="str" cm="1">
        <f t="array" ref="I702">IFERROR(IF(E702="", "", INDEX(Sheet1!$G:$J, MATCH(E702, Sheet1!$C:$C, 0), IF(COUNTIF(Sheet1!$G:$G, $I$8)&gt;0, 1, IF(COUNTIF(Sheet1!$H:$H, $I$8)&gt;0, 2, IF(COUNTIF(Sheet1!$I:$I, $I$8)&gt;0, 3, IF(COUNTIF(Sheet1!$J:$J, $I$8)&gt;0, 4, 0)))))), "")</f>
        <v/>
      </c>
    </row>
    <row r="703" spans="9:9" x14ac:dyDescent="0.25">
      <c r="I703" s="3" t="str" cm="1">
        <f t="array" ref="I703">IFERROR(IF(E703="", "", INDEX(Sheet1!$G:$J, MATCH(E703, Sheet1!$C:$C, 0), IF(COUNTIF(Sheet1!$G:$G, $I$8)&gt;0, 1, IF(COUNTIF(Sheet1!$H:$H, $I$8)&gt;0, 2, IF(COUNTIF(Sheet1!$I:$I, $I$8)&gt;0, 3, IF(COUNTIF(Sheet1!$J:$J, $I$8)&gt;0, 4, 0)))))), "")</f>
        <v/>
      </c>
    </row>
    <row r="704" spans="9:9" x14ac:dyDescent="0.25">
      <c r="I704" s="3" t="str" cm="1">
        <f t="array" ref="I704">IFERROR(IF(E704="", "", INDEX(Sheet1!$G:$J, MATCH(E704, Sheet1!$C:$C, 0), IF(COUNTIF(Sheet1!$G:$G, $I$8)&gt;0, 1, IF(COUNTIF(Sheet1!$H:$H, $I$8)&gt;0, 2, IF(COUNTIF(Sheet1!$I:$I, $I$8)&gt;0, 3, IF(COUNTIF(Sheet1!$J:$J, $I$8)&gt;0, 4, 0)))))), "")</f>
        <v/>
      </c>
    </row>
    <row r="705" spans="9:9" x14ac:dyDescent="0.25">
      <c r="I705" s="3" t="str" cm="1">
        <f t="array" ref="I705">IFERROR(IF(E705="", "", INDEX(Sheet1!$G:$J, MATCH(E705, Sheet1!$C:$C, 0), IF(COUNTIF(Sheet1!$G:$G, $I$8)&gt;0, 1, IF(COUNTIF(Sheet1!$H:$H, $I$8)&gt;0, 2, IF(COUNTIF(Sheet1!$I:$I, $I$8)&gt;0, 3, IF(COUNTIF(Sheet1!$J:$J, $I$8)&gt;0, 4, 0)))))), "")</f>
        <v/>
      </c>
    </row>
    <row r="706" spans="9:9" x14ac:dyDescent="0.25">
      <c r="I706" s="3" t="str" cm="1">
        <f t="array" ref="I706">IFERROR(IF(E706="", "", INDEX(Sheet1!$G:$J, MATCH(E706, Sheet1!$C:$C, 0), IF(COUNTIF(Sheet1!$G:$G, $I$8)&gt;0, 1, IF(COUNTIF(Sheet1!$H:$H, $I$8)&gt;0, 2, IF(COUNTIF(Sheet1!$I:$I, $I$8)&gt;0, 3, IF(COUNTIF(Sheet1!$J:$J, $I$8)&gt;0, 4, 0)))))), "")</f>
        <v/>
      </c>
    </row>
    <row r="707" spans="9:9" x14ac:dyDescent="0.25">
      <c r="I707" s="3" t="str" cm="1">
        <f t="array" ref="I707">IFERROR(IF(E707="", "", INDEX(Sheet1!$G:$J, MATCH(E707, Sheet1!$C:$C, 0), IF(COUNTIF(Sheet1!$G:$G, $I$8)&gt;0, 1, IF(COUNTIF(Sheet1!$H:$H, $I$8)&gt;0, 2, IF(COUNTIF(Sheet1!$I:$I, $I$8)&gt;0, 3, IF(COUNTIF(Sheet1!$J:$J, $I$8)&gt;0, 4, 0)))))), "")</f>
        <v/>
      </c>
    </row>
    <row r="708" spans="9:9" x14ac:dyDescent="0.25">
      <c r="I708" s="3" t="str" cm="1">
        <f t="array" ref="I708">IFERROR(IF(E708="", "", INDEX(Sheet1!$G:$J, MATCH(E708, Sheet1!$C:$C, 0), IF(COUNTIF(Sheet1!$G:$G, $I$8)&gt;0, 1, IF(COUNTIF(Sheet1!$H:$H, $I$8)&gt;0, 2, IF(COUNTIF(Sheet1!$I:$I, $I$8)&gt;0, 3, IF(COUNTIF(Sheet1!$J:$J, $I$8)&gt;0, 4, 0)))))), "")</f>
        <v/>
      </c>
    </row>
    <row r="709" spans="9:9" x14ac:dyDescent="0.25">
      <c r="I709" s="3" t="str" cm="1">
        <f t="array" ref="I709">IFERROR(IF(E709="", "", INDEX(Sheet1!$G:$J, MATCH(E709, Sheet1!$C:$C, 0), IF(COUNTIF(Sheet1!$G:$G, $I$8)&gt;0, 1, IF(COUNTIF(Sheet1!$H:$H, $I$8)&gt;0, 2, IF(COUNTIF(Sheet1!$I:$I, $I$8)&gt;0, 3, IF(COUNTIF(Sheet1!$J:$J, $I$8)&gt;0, 4, 0)))))), "")</f>
        <v/>
      </c>
    </row>
    <row r="710" spans="9:9" x14ac:dyDescent="0.25">
      <c r="I710" s="3" t="str" cm="1">
        <f t="array" ref="I710">IFERROR(IF(E710="", "", INDEX(Sheet1!$G:$J, MATCH(E710, Sheet1!$C:$C, 0), IF(COUNTIF(Sheet1!$G:$G, $I$8)&gt;0, 1, IF(COUNTIF(Sheet1!$H:$H, $I$8)&gt;0, 2, IF(COUNTIF(Sheet1!$I:$I, $I$8)&gt;0, 3, IF(COUNTIF(Sheet1!$J:$J, $I$8)&gt;0, 4, 0)))))), "")</f>
        <v/>
      </c>
    </row>
    <row r="711" spans="9:9" x14ac:dyDescent="0.25">
      <c r="I711" s="3" t="str" cm="1">
        <f t="array" ref="I711">IFERROR(IF(E711="", "", INDEX(Sheet1!$G:$J, MATCH(E711, Sheet1!$C:$C, 0), IF(COUNTIF(Sheet1!$G:$G, $I$8)&gt;0, 1, IF(COUNTIF(Sheet1!$H:$H, $I$8)&gt;0, 2, IF(COUNTIF(Sheet1!$I:$I, $I$8)&gt;0, 3, IF(COUNTIF(Sheet1!$J:$J, $I$8)&gt;0, 4, 0)))))), "")</f>
        <v/>
      </c>
    </row>
    <row r="712" spans="9:9" x14ac:dyDescent="0.25">
      <c r="I712" s="3" t="str" cm="1">
        <f t="array" ref="I712">IFERROR(IF(E712="", "", INDEX(Sheet1!$G:$J, MATCH(E712, Sheet1!$C:$C, 0), IF(COUNTIF(Sheet1!$G:$G, $I$8)&gt;0, 1, IF(COUNTIF(Sheet1!$H:$H, $I$8)&gt;0, 2, IF(COUNTIF(Sheet1!$I:$I, $I$8)&gt;0, 3, IF(COUNTIF(Sheet1!$J:$J, $I$8)&gt;0, 4, 0)))))), "")</f>
        <v/>
      </c>
    </row>
    <row r="713" spans="9:9" x14ac:dyDescent="0.25">
      <c r="I713" s="3" t="str" cm="1">
        <f t="array" ref="I713">IFERROR(IF(E713="", "", INDEX(Sheet1!$G:$J, MATCH(E713, Sheet1!$C:$C, 0), IF(COUNTIF(Sheet1!$G:$G, $I$8)&gt;0, 1, IF(COUNTIF(Sheet1!$H:$H, $I$8)&gt;0, 2, IF(COUNTIF(Sheet1!$I:$I, $I$8)&gt;0, 3, IF(COUNTIF(Sheet1!$J:$J, $I$8)&gt;0, 4, 0)))))), "")</f>
        <v/>
      </c>
    </row>
    <row r="714" spans="9:9" x14ac:dyDescent="0.25">
      <c r="I714" s="3" t="str" cm="1">
        <f t="array" ref="I714">IFERROR(IF(E714="", "", INDEX(Sheet1!$G:$J, MATCH(E714, Sheet1!$C:$C, 0), IF(COUNTIF(Sheet1!$G:$G, $I$8)&gt;0, 1, IF(COUNTIF(Sheet1!$H:$H, $I$8)&gt;0, 2, IF(COUNTIF(Sheet1!$I:$I, $I$8)&gt;0, 3, IF(COUNTIF(Sheet1!$J:$J, $I$8)&gt;0, 4, 0)))))), "")</f>
        <v/>
      </c>
    </row>
    <row r="715" spans="9:9" x14ac:dyDescent="0.25">
      <c r="I715" s="3" t="str" cm="1">
        <f t="array" ref="I715">IFERROR(IF(E715="", "", INDEX(Sheet1!$G:$J, MATCH(E715, Sheet1!$C:$C, 0), IF(COUNTIF(Sheet1!$G:$G, $I$8)&gt;0, 1, IF(COUNTIF(Sheet1!$H:$H, $I$8)&gt;0, 2, IF(COUNTIF(Sheet1!$I:$I, $I$8)&gt;0, 3, IF(COUNTIF(Sheet1!$J:$J, $I$8)&gt;0, 4, 0)))))), "")</f>
        <v/>
      </c>
    </row>
    <row r="716" spans="9:9" x14ac:dyDescent="0.25">
      <c r="I716" s="3" t="str" cm="1">
        <f t="array" ref="I716">IFERROR(IF(E716="", "", INDEX(Sheet1!$G:$J, MATCH(E716, Sheet1!$C:$C, 0), IF(COUNTIF(Sheet1!$G:$G, $I$8)&gt;0, 1, IF(COUNTIF(Sheet1!$H:$H, $I$8)&gt;0, 2, IF(COUNTIF(Sheet1!$I:$I, $I$8)&gt;0, 3, IF(COUNTIF(Sheet1!$J:$J, $I$8)&gt;0, 4, 0)))))), "")</f>
        <v/>
      </c>
    </row>
    <row r="717" spans="9:9" x14ac:dyDescent="0.25">
      <c r="I717" s="3" t="str" cm="1">
        <f t="array" ref="I717">IFERROR(IF(E717="", "", INDEX(Sheet1!$G:$J, MATCH(E717, Sheet1!$C:$C, 0), IF(COUNTIF(Sheet1!$G:$G, $I$8)&gt;0, 1, IF(COUNTIF(Sheet1!$H:$H, $I$8)&gt;0, 2, IF(COUNTIF(Sheet1!$I:$I, $I$8)&gt;0, 3, IF(COUNTIF(Sheet1!$J:$J, $I$8)&gt;0, 4, 0)))))), "")</f>
        <v/>
      </c>
    </row>
    <row r="718" spans="9:9" x14ac:dyDescent="0.25">
      <c r="I718" s="3" t="str" cm="1">
        <f t="array" ref="I718">IFERROR(IF(E718="", "", INDEX(Sheet1!$G:$J, MATCH(E718, Sheet1!$C:$C, 0), IF(COUNTIF(Sheet1!$G:$G, $I$8)&gt;0, 1, IF(COUNTIF(Sheet1!$H:$H, $I$8)&gt;0, 2, IF(COUNTIF(Sheet1!$I:$I, $I$8)&gt;0, 3, IF(COUNTIF(Sheet1!$J:$J, $I$8)&gt;0, 4, 0)))))), "")</f>
        <v/>
      </c>
    </row>
    <row r="719" spans="9:9" x14ac:dyDescent="0.25">
      <c r="I719" s="3" t="str" cm="1">
        <f t="array" ref="I719">IFERROR(IF(E719="", "", INDEX(Sheet1!$G:$J, MATCH(E719, Sheet1!$C:$C, 0), IF(COUNTIF(Sheet1!$G:$G, $I$8)&gt;0, 1, IF(COUNTIF(Sheet1!$H:$H, $I$8)&gt;0, 2, IF(COUNTIF(Sheet1!$I:$I, $I$8)&gt;0, 3, IF(COUNTIF(Sheet1!$J:$J, $I$8)&gt;0, 4, 0)))))), "")</f>
        <v/>
      </c>
    </row>
    <row r="720" spans="9:9" x14ac:dyDescent="0.25">
      <c r="I720" s="3" t="str" cm="1">
        <f t="array" ref="I720">IFERROR(IF(E720="", "", INDEX(Sheet1!$G:$J, MATCH(E720, Sheet1!$C:$C, 0), IF(COUNTIF(Sheet1!$G:$G, $I$8)&gt;0, 1, IF(COUNTIF(Sheet1!$H:$H, $I$8)&gt;0, 2, IF(COUNTIF(Sheet1!$I:$I, $I$8)&gt;0, 3, IF(COUNTIF(Sheet1!$J:$J, $I$8)&gt;0, 4, 0)))))), "")</f>
        <v/>
      </c>
    </row>
    <row r="721" spans="9:9" x14ac:dyDescent="0.25">
      <c r="I721" s="3" t="str" cm="1">
        <f t="array" ref="I721">IFERROR(IF(E721="", "", INDEX(Sheet1!$G:$J, MATCH(E721, Sheet1!$C:$C, 0), IF(COUNTIF(Sheet1!$G:$G, $I$8)&gt;0, 1, IF(COUNTIF(Sheet1!$H:$H, $I$8)&gt;0, 2, IF(COUNTIF(Sheet1!$I:$I, $I$8)&gt;0, 3, IF(COUNTIF(Sheet1!$J:$J, $I$8)&gt;0, 4, 0)))))), "")</f>
        <v/>
      </c>
    </row>
    <row r="722" spans="9:9" x14ac:dyDescent="0.25">
      <c r="I722" s="3" t="str" cm="1">
        <f t="array" ref="I722">IFERROR(IF(E722="", "", INDEX(Sheet1!$G:$J, MATCH(E722, Sheet1!$C:$C, 0), IF(COUNTIF(Sheet1!$G:$G, $I$8)&gt;0, 1, IF(COUNTIF(Sheet1!$H:$H, $I$8)&gt;0, 2, IF(COUNTIF(Sheet1!$I:$I, $I$8)&gt;0, 3, IF(COUNTIF(Sheet1!$J:$J, $I$8)&gt;0, 4, 0)))))), "")</f>
        <v/>
      </c>
    </row>
    <row r="723" spans="9:9" x14ac:dyDescent="0.25">
      <c r="I723" s="3" t="str" cm="1">
        <f t="array" ref="I723">IFERROR(IF(E723="", "", INDEX(Sheet1!$G:$J, MATCH(E723, Sheet1!$C:$C, 0), IF(COUNTIF(Sheet1!$G:$G, $I$8)&gt;0, 1, IF(COUNTIF(Sheet1!$H:$H, $I$8)&gt;0, 2, IF(COUNTIF(Sheet1!$I:$I, $I$8)&gt;0, 3, IF(COUNTIF(Sheet1!$J:$J, $I$8)&gt;0, 4, 0)))))), "")</f>
        <v/>
      </c>
    </row>
    <row r="724" spans="9:9" x14ac:dyDescent="0.25">
      <c r="I724" s="3" t="str" cm="1">
        <f t="array" ref="I724">IFERROR(IF(E724="", "", INDEX(Sheet1!$G:$J, MATCH(E724, Sheet1!$C:$C, 0), IF(COUNTIF(Sheet1!$G:$G, $I$8)&gt;0, 1, IF(COUNTIF(Sheet1!$H:$H, $I$8)&gt;0, 2, IF(COUNTIF(Sheet1!$I:$I, $I$8)&gt;0, 3, IF(COUNTIF(Sheet1!$J:$J, $I$8)&gt;0, 4, 0)))))), "")</f>
        <v/>
      </c>
    </row>
    <row r="725" spans="9:9" x14ac:dyDescent="0.25">
      <c r="I725" s="3" t="str" cm="1">
        <f t="array" ref="I725">IFERROR(IF(E725="", "", INDEX(Sheet1!$G:$J, MATCH(E725, Sheet1!$C:$C, 0), IF(COUNTIF(Sheet1!$G:$G, $I$8)&gt;0, 1, IF(COUNTIF(Sheet1!$H:$H, $I$8)&gt;0, 2, IF(COUNTIF(Sheet1!$I:$I, $I$8)&gt;0, 3, IF(COUNTIF(Sheet1!$J:$J, $I$8)&gt;0, 4, 0)))))), "")</f>
        <v/>
      </c>
    </row>
    <row r="726" spans="9:9" x14ac:dyDescent="0.25">
      <c r="I726" s="3" t="str" cm="1">
        <f t="array" ref="I726">IFERROR(IF(E726="", "", INDEX(Sheet1!$G:$J, MATCH(E726, Sheet1!$C:$C, 0), IF(COUNTIF(Sheet1!$G:$G, $I$8)&gt;0, 1, IF(COUNTIF(Sheet1!$H:$H, $I$8)&gt;0, 2, IF(COUNTIF(Sheet1!$I:$I, $I$8)&gt;0, 3, IF(COUNTIF(Sheet1!$J:$J, $I$8)&gt;0, 4, 0)))))), "")</f>
        <v/>
      </c>
    </row>
    <row r="727" spans="9:9" x14ac:dyDescent="0.25">
      <c r="I727" s="3" t="str" cm="1">
        <f t="array" ref="I727">IFERROR(IF(E727="", "", INDEX(Sheet1!$G:$J, MATCH(E727, Sheet1!$C:$C, 0), IF(COUNTIF(Sheet1!$G:$G, $I$8)&gt;0, 1, IF(COUNTIF(Sheet1!$H:$H, $I$8)&gt;0, 2, IF(COUNTIF(Sheet1!$I:$I, $I$8)&gt;0, 3, IF(COUNTIF(Sheet1!$J:$J, $I$8)&gt;0, 4, 0)))))), "")</f>
        <v/>
      </c>
    </row>
    <row r="728" spans="9:9" x14ac:dyDescent="0.25">
      <c r="I728" s="3" t="str" cm="1">
        <f t="array" ref="I728">IFERROR(IF(E728="", "", INDEX(Sheet1!$G:$J, MATCH(E728, Sheet1!$C:$C, 0), IF(COUNTIF(Sheet1!$G:$G, $I$8)&gt;0, 1, IF(COUNTIF(Sheet1!$H:$H, $I$8)&gt;0, 2, IF(COUNTIF(Sheet1!$I:$I, $I$8)&gt;0, 3, IF(COUNTIF(Sheet1!$J:$J, $I$8)&gt;0, 4, 0)))))), "")</f>
        <v/>
      </c>
    </row>
    <row r="729" spans="9:9" x14ac:dyDescent="0.25">
      <c r="I729" s="3" t="str" cm="1">
        <f t="array" ref="I729">IFERROR(IF(E729="", "", INDEX(Sheet1!$G:$J, MATCH(E729, Sheet1!$C:$C, 0), IF(COUNTIF(Sheet1!$G:$G, $I$8)&gt;0, 1, IF(COUNTIF(Sheet1!$H:$H, $I$8)&gt;0, 2, IF(COUNTIF(Sheet1!$I:$I, $I$8)&gt;0, 3, IF(COUNTIF(Sheet1!$J:$J, $I$8)&gt;0, 4, 0)))))), "")</f>
        <v/>
      </c>
    </row>
    <row r="730" spans="9:9" x14ac:dyDescent="0.25">
      <c r="I730" s="3" t="str" cm="1">
        <f t="array" ref="I730">IFERROR(IF(E730="", "", INDEX(Sheet1!$G:$J, MATCH(E730, Sheet1!$C:$C, 0), IF(COUNTIF(Sheet1!$G:$G, $I$8)&gt;0, 1, IF(COUNTIF(Sheet1!$H:$H, $I$8)&gt;0, 2, IF(COUNTIF(Sheet1!$I:$I, $I$8)&gt;0, 3, IF(COUNTIF(Sheet1!$J:$J, $I$8)&gt;0, 4, 0)))))), "")</f>
        <v/>
      </c>
    </row>
    <row r="731" spans="9:9" x14ac:dyDescent="0.25">
      <c r="I731" s="3" t="str" cm="1">
        <f t="array" ref="I731">IFERROR(IF(E731="", "", INDEX(Sheet1!$G:$J, MATCH(E731, Sheet1!$C:$C, 0), IF(COUNTIF(Sheet1!$G:$G, $I$8)&gt;0, 1, IF(COUNTIF(Sheet1!$H:$H, $I$8)&gt;0, 2, IF(COUNTIF(Sheet1!$I:$I, $I$8)&gt;0, 3, IF(COUNTIF(Sheet1!$J:$J, $I$8)&gt;0, 4, 0)))))), "")</f>
        <v/>
      </c>
    </row>
    <row r="732" spans="9:9" x14ac:dyDescent="0.25">
      <c r="I732" s="3" t="str" cm="1">
        <f t="array" ref="I732">IFERROR(IF(E732="", "", INDEX(Sheet1!$G:$J, MATCH(E732, Sheet1!$C:$C, 0), IF(COUNTIF(Sheet1!$G:$G, $I$8)&gt;0, 1, IF(COUNTIF(Sheet1!$H:$H, $I$8)&gt;0, 2, IF(COUNTIF(Sheet1!$I:$I, $I$8)&gt;0, 3, IF(COUNTIF(Sheet1!$J:$J, $I$8)&gt;0, 4, 0)))))), "")</f>
        <v/>
      </c>
    </row>
    <row r="733" spans="9:9" x14ac:dyDescent="0.25">
      <c r="I733" s="3" t="str" cm="1">
        <f t="array" ref="I733">IFERROR(IF(E733="", "", INDEX(Sheet1!$G:$J, MATCH(E733, Sheet1!$C:$C, 0), IF(COUNTIF(Sheet1!$G:$G, $I$8)&gt;0, 1, IF(COUNTIF(Sheet1!$H:$H, $I$8)&gt;0, 2, IF(COUNTIF(Sheet1!$I:$I, $I$8)&gt;0, 3, IF(COUNTIF(Sheet1!$J:$J, $I$8)&gt;0, 4, 0)))))), "")</f>
        <v/>
      </c>
    </row>
    <row r="734" spans="9:9" x14ac:dyDescent="0.25">
      <c r="I734" s="3" t="str" cm="1">
        <f t="array" ref="I734">IFERROR(IF(E734="", "", INDEX(Sheet1!$G:$J, MATCH(E734, Sheet1!$C:$C, 0), IF(COUNTIF(Sheet1!$G:$G, $I$8)&gt;0, 1, IF(COUNTIF(Sheet1!$H:$H, $I$8)&gt;0, 2, IF(COUNTIF(Sheet1!$I:$I, $I$8)&gt;0, 3, IF(COUNTIF(Sheet1!$J:$J, $I$8)&gt;0, 4, 0)))))), "")</f>
        <v/>
      </c>
    </row>
    <row r="735" spans="9:9" x14ac:dyDescent="0.25">
      <c r="I735" s="3" t="str" cm="1">
        <f t="array" ref="I735">IFERROR(IF(E735="", "", INDEX(Sheet1!$G:$J, MATCH(E735, Sheet1!$C:$C, 0), IF(COUNTIF(Sheet1!$G:$G, $I$8)&gt;0, 1, IF(COUNTIF(Sheet1!$H:$H, $I$8)&gt;0, 2, IF(COUNTIF(Sheet1!$I:$I, $I$8)&gt;0, 3, IF(COUNTIF(Sheet1!$J:$J, $I$8)&gt;0, 4, 0)))))), "")</f>
        <v/>
      </c>
    </row>
    <row r="736" spans="9:9" x14ac:dyDescent="0.25">
      <c r="I736" s="3" t="str" cm="1">
        <f t="array" ref="I736">IFERROR(IF(E736="", "", INDEX(Sheet1!$G:$J, MATCH(E736, Sheet1!$C:$C, 0), IF(COUNTIF(Sheet1!$G:$G, $I$8)&gt;0, 1, IF(COUNTIF(Sheet1!$H:$H, $I$8)&gt;0, 2, IF(COUNTIF(Sheet1!$I:$I, $I$8)&gt;0, 3, IF(COUNTIF(Sheet1!$J:$J, $I$8)&gt;0, 4, 0)))))), "")</f>
        <v/>
      </c>
    </row>
    <row r="737" spans="9:9" x14ac:dyDescent="0.25">
      <c r="I737" s="3" t="str" cm="1">
        <f t="array" ref="I737">IFERROR(IF(E737="", "", INDEX(Sheet1!$G:$J, MATCH(E737, Sheet1!$C:$C, 0), IF(COUNTIF(Sheet1!$G:$G, $I$8)&gt;0, 1, IF(COUNTIF(Sheet1!$H:$H, $I$8)&gt;0, 2, IF(COUNTIF(Sheet1!$I:$I, $I$8)&gt;0, 3, IF(COUNTIF(Sheet1!$J:$J, $I$8)&gt;0, 4, 0)))))), "")</f>
        <v/>
      </c>
    </row>
    <row r="738" spans="9:9" x14ac:dyDescent="0.25">
      <c r="I738" s="3" t="str" cm="1">
        <f t="array" ref="I738">IFERROR(IF(E738="", "", INDEX(Sheet1!$G:$J, MATCH(E738, Sheet1!$C:$C, 0), IF(COUNTIF(Sheet1!$G:$G, $I$8)&gt;0, 1, IF(COUNTIF(Sheet1!$H:$H, $I$8)&gt;0, 2, IF(COUNTIF(Sheet1!$I:$I, $I$8)&gt;0, 3, IF(COUNTIF(Sheet1!$J:$J, $I$8)&gt;0, 4, 0)))))), "")</f>
        <v/>
      </c>
    </row>
    <row r="739" spans="9:9" x14ac:dyDescent="0.25">
      <c r="I739" s="3" t="str" cm="1">
        <f t="array" ref="I739">IFERROR(IF(E739="", "", INDEX(Sheet1!$G:$J, MATCH(E739, Sheet1!$C:$C, 0), IF(COUNTIF(Sheet1!$G:$G, $I$8)&gt;0, 1, IF(COUNTIF(Sheet1!$H:$H, $I$8)&gt;0, 2, IF(COUNTIF(Sheet1!$I:$I, $I$8)&gt;0, 3, IF(COUNTIF(Sheet1!$J:$J, $I$8)&gt;0, 4, 0)))))), "")</f>
        <v/>
      </c>
    </row>
    <row r="740" spans="9:9" x14ac:dyDescent="0.25">
      <c r="I740" s="3" t="str" cm="1">
        <f t="array" ref="I740">IFERROR(IF(E740="", "", INDEX(Sheet1!$G:$J, MATCH(E740, Sheet1!$C:$C, 0), IF(COUNTIF(Sheet1!$G:$G, $I$8)&gt;0, 1, IF(COUNTIF(Sheet1!$H:$H, $I$8)&gt;0, 2, IF(COUNTIF(Sheet1!$I:$I, $I$8)&gt;0, 3, IF(COUNTIF(Sheet1!$J:$J, $I$8)&gt;0, 4, 0)))))), "")</f>
        <v/>
      </c>
    </row>
    <row r="741" spans="9:9" x14ac:dyDescent="0.25">
      <c r="I741" s="3" t="str" cm="1">
        <f t="array" ref="I741">IFERROR(IF(E741="", "", INDEX(Sheet1!$G:$J, MATCH(E741, Sheet1!$C:$C, 0), IF(COUNTIF(Sheet1!$G:$G, $I$8)&gt;0, 1, IF(COUNTIF(Sheet1!$H:$H, $I$8)&gt;0, 2, IF(COUNTIF(Sheet1!$I:$I, $I$8)&gt;0, 3, IF(COUNTIF(Sheet1!$J:$J, $I$8)&gt;0, 4, 0)))))), "")</f>
        <v/>
      </c>
    </row>
    <row r="742" spans="9:9" x14ac:dyDescent="0.25">
      <c r="I742" s="3" t="str" cm="1">
        <f t="array" ref="I742">IFERROR(IF(E742="", "", INDEX(Sheet1!$G:$J, MATCH(E742, Sheet1!$C:$C, 0), IF(COUNTIF(Sheet1!$G:$G, $I$8)&gt;0, 1, IF(COUNTIF(Sheet1!$H:$H, $I$8)&gt;0, 2, IF(COUNTIF(Sheet1!$I:$I, $I$8)&gt;0, 3, IF(COUNTIF(Sheet1!$J:$J, $I$8)&gt;0, 4, 0)))))), "")</f>
        <v/>
      </c>
    </row>
    <row r="743" spans="9:9" x14ac:dyDescent="0.25">
      <c r="I743" s="3" t="str" cm="1">
        <f t="array" ref="I743">IFERROR(IF(E743="", "", INDEX(Sheet1!$G:$J, MATCH(E743, Sheet1!$C:$C, 0), IF(COUNTIF(Sheet1!$G:$G, $I$8)&gt;0, 1, IF(COUNTIF(Sheet1!$H:$H, $I$8)&gt;0, 2, IF(COUNTIF(Sheet1!$I:$I, $I$8)&gt;0, 3, IF(COUNTIF(Sheet1!$J:$J, $I$8)&gt;0, 4, 0)))))), "")</f>
        <v/>
      </c>
    </row>
    <row r="744" spans="9:9" x14ac:dyDescent="0.25">
      <c r="I744" s="3" t="str" cm="1">
        <f t="array" ref="I744">IFERROR(IF(E744="", "", INDEX(Sheet1!$G:$J, MATCH(E744, Sheet1!$C:$C, 0), IF(COUNTIF(Sheet1!$G:$G, $I$8)&gt;0, 1, IF(COUNTIF(Sheet1!$H:$H, $I$8)&gt;0, 2, IF(COUNTIF(Sheet1!$I:$I, $I$8)&gt;0, 3, IF(COUNTIF(Sheet1!$J:$J, $I$8)&gt;0, 4, 0)))))), "")</f>
        <v/>
      </c>
    </row>
    <row r="745" spans="9:9" x14ac:dyDescent="0.25">
      <c r="I745" s="3" t="str" cm="1">
        <f t="array" ref="I745">IFERROR(IF(E745="", "", INDEX(Sheet1!$G:$J, MATCH(E745, Sheet1!$C:$C, 0), IF(COUNTIF(Sheet1!$G:$G, $I$8)&gt;0, 1, IF(COUNTIF(Sheet1!$H:$H, $I$8)&gt;0, 2, IF(COUNTIF(Sheet1!$I:$I, $I$8)&gt;0, 3, IF(COUNTIF(Sheet1!$J:$J, $I$8)&gt;0, 4, 0)))))), "")</f>
        <v/>
      </c>
    </row>
    <row r="746" spans="9:9" x14ac:dyDescent="0.25">
      <c r="I746" s="3" t="str" cm="1">
        <f t="array" ref="I746">IFERROR(IF(E746="", "", INDEX(Sheet1!$G:$J, MATCH(E746, Sheet1!$C:$C, 0), IF(COUNTIF(Sheet1!$G:$G, $I$8)&gt;0, 1, IF(COUNTIF(Sheet1!$H:$H, $I$8)&gt;0, 2, IF(COUNTIF(Sheet1!$I:$I, $I$8)&gt;0, 3, IF(COUNTIF(Sheet1!$J:$J, $I$8)&gt;0, 4, 0)))))), "")</f>
        <v/>
      </c>
    </row>
    <row r="747" spans="9:9" x14ac:dyDescent="0.25">
      <c r="I747" s="3" t="str" cm="1">
        <f t="array" ref="I747">IFERROR(IF(E747="", "", INDEX(Sheet1!$G:$J, MATCH(E747, Sheet1!$C:$C, 0), IF(COUNTIF(Sheet1!$G:$G, $I$8)&gt;0, 1, IF(COUNTIF(Sheet1!$H:$H, $I$8)&gt;0, 2, IF(COUNTIF(Sheet1!$I:$I, $I$8)&gt;0, 3, IF(COUNTIF(Sheet1!$J:$J, $I$8)&gt;0, 4, 0)))))), "")</f>
        <v/>
      </c>
    </row>
    <row r="748" spans="9:9" x14ac:dyDescent="0.25">
      <c r="I748" s="3" t="str" cm="1">
        <f t="array" ref="I748">IFERROR(IF(E748="", "", INDEX(Sheet1!$G:$J, MATCH(E748, Sheet1!$C:$C, 0), IF(COUNTIF(Sheet1!$G:$G, $I$8)&gt;0, 1, IF(COUNTIF(Sheet1!$H:$H, $I$8)&gt;0, 2, IF(COUNTIF(Sheet1!$I:$I, $I$8)&gt;0, 3, IF(COUNTIF(Sheet1!$J:$J, $I$8)&gt;0, 4, 0)))))), "")</f>
        <v/>
      </c>
    </row>
    <row r="749" spans="9:9" x14ac:dyDescent="0.25">
      <c r="I749" s="3" t="str" cm="1">
        <f t="array" ref="I749">IFERROR(IF(E749="", "", INDEX(Sheet1!$G:$J, MATCH(E749, Sheet1!$C:$C, 0), IF(COUNTIF(Sheet1!$G:$G, $I$8)&gt;0, 1, IF(COUNTIF(Sheet1!$H:$H, $I$8)&gt;0, 2, IF(COUNTIF(Sheet1!$I:$I, $I$8)&gt;0, 3, IF(COUNTIF(Sheet1!$J:$J, $I$8)&gt;0, 4, 0)))))), "")</f>
        <v/>
      </c>
    </row>
    <row r="750" spans="9:9" x14ac:dyDescent="0.25">
      <c r="I750" s="3" t="str" cm="1">
        <f t="array" ref="I750">IFERROR(IF(E750="", "", INDEX(Sheet1!$G:$J, MATCH(E750, Sheet1!$C:$C, 0), IF(COUNTIF(Sheet1!$G:$G, $I$8)&gt;0, 1, IF(COUNTIF(Sheet1!$H:$H, $I$8)&gt;0, 2, IF(COUNTIF(Sheet1!$I:$I, $I$8)&gt;0, 3, IF(COUNTIF(Sheet1!$J:$J, $I$8)&gt;0, 4, 0)))))), "")</f>
        <v/>
      </c>
    </row>
    <row r="751" spans="9:9" x14ac:dyDescent="0.25">
      <c r="I751" s="3" t="str" cm="1">
        <f t="array" ref="I751">IFERROR(IF(E751="", "", INDEX(Sheet1!$G:$J, MATCH(E751, Sheet1!$C:$C, 0), IF(COUNTIF(Sheet1!$G:$G, $I$8)&gt;0, 1, IF(COUNTIF(Sheet1!$H:$H, $I$8)&gt;0, 2, IF(COUNTIF(Sheet1!$I:$I, $I$8)&gt;0, 3, IF(COUNTIF(Sheet1!$J:$J, $I$8)&gt;0, 4, 0)))))), "")</f>
        <v/>
      </c>
    </row>
    <row r="752" spans="9:9" x14ac:dyDescent="0.25">
      <c r="I752" s="3" t="str" cm="1">
        <f t="array" ref="I752">IFERROR(IF(E752="", "", INDEX(Sheet1!$G:$J, MATCH(E752, Sheet1!$C:$C, 0), IF(COUNTIF(Sheet1!$G:$G, $I$8)&gt;0, 1, IF(COUNTIF(Sheet1!$H:$H, $I$8)&gt;0, 2, IF(COUNTIF(Sheet1!$I:$I, $I$8)&gt;0, 3, IF(COUNTIF(Sheet1!$J:$J, $I$8)&gt;0, 4, 0)))))), "")</f>
        <v/>
      </c>
    </row>
    <row r="753" spans="9:9" x14ac:dyDescent="0.25">
      <c r="I753" s="3" t="str" cm="1">
        <f t="array" ref="I753">IFERROR(IF(E753="", "", INDEX(Sheet1!$G:$J, MATCH(E753, Sheet1!$C:$C, 0), IF(COUNTIF(Sheet1!$G:$G, $I$8)&gt;0, 1, IF(COUNTIF(Sheet1!$H:$H, $I$8)&gt;0, 2, IF(COUNTIF(Sheet1!$I:$I, $I$8)&gt;0, 3, IF(COUNTIF(Sheet1!$J:$J, $I$8)&gt;0, 4, 0)))))), "")</f>
        <v/>
      </c>
    </row>
    <row r="754" spans="9:9" x14ac:dyDescent="0.25">
      <c r="I754" s="3" t="str" cm="1">
        <f t="array" ref="I754">IFERROR(IF(E754="", "", INDEX(Sheet1!$G:$J, MATCH(E754, Sheet1!$C:$C, 0), IF(COUNTIF(Sheet1!$G:$G, $I$8)&gt;0, 1, IF(COUNTIF(Sheet1!$H:$H, $I$8)&gt;0, 2, IF(COUNTIF(Sheet1!$I:$I, $I$8)&gt;0, 3, IF(COUNTIF(Sheet1!$J:$J, $I$8)&gt;0, 4, 0)))))), "")</f>
        <v/>
      </c>
    </row>
    <row r="755" spans="9:9" x14ac:dyDescent="0.25">
      <c r="I755" s="3" t="str" cm="1">
        <f t="array" ref="I755">IFERROR(IF(E755="", "", INDEX(Sheet1!$G:$J, MATCH(E755, Sheet1!$C:$C, 0), IF(COUNTIF(Sheet1!$G:$G, $I$8)&gt;0, 1, IF(COUNTIF(Sheet1!$H:$H, $I$8)&gt;0, 2, IF(COUNTIF(Sheet1!$I:$I, $I$8)&gt;0, 3, IF(COUNTIF(Sheet1!$J:$J, $I$8)&gt;0, 4, 0)))))), "")</f>
        <v/>
      </c>
    </row>
    <row r="756" spans="9:9" x14ac:dyDescent="0.25">
      <c r="I756" s="3" t="str" cm="1">
        <f t="array" ref="I756">IFERROR(IF(E756="", "", INDEX(Sheet1!$G:$J, MATCH(E756, Sheet1!$C:$C, 0), IF(COUNTIF(Sheet1!$G:$G, $I$8)&gt;0, 1, IF(COUNTIF(Sheet1!$H:$H, $I$8)&gt;0, 2, IF(COUNTIF(Sheet1!$I:$I, $I$8)&gt;0, 3, IF(COUNTIF(Sheet1!$J:$J, $I$8)&gt;0, 4, 0)))))), "")</f>
        <v/>
      </c>
    </row>
    <row r="757" spans="9:9" x14ac:dyDescent="0.25">
      <c r="I757" s="3" t="str" cm="1">
        <f t="array" ref="I757">IFERROR(IF(E757="", "", INDEX(Sheet1!$G:$J, MATCH(E757, Sheet1!$C:$C, 0), IF(COUNTIF(Sheet1!$G:$G, $I$8)&gt;0, 1, IF(COUNTIF(Sheet1!$H:$H, $I$8)&gt;0, 2, IF(COUNTIF(Sheet1!$I:$I, $I$8)&gt;0, 3, IF(COUNTIF(Sheet1!$J:$J, $I$8)&gt;0, 4, 0)))))), "")</f>
        <v/>
      </c>
    </row>
    <row r="758" spans="9:9" x14ac:dyDescent="0.25">
      <c r="I758" s="3" t="str" cm="1">
        <f t="array" ref="I758">IFERROR(IF(E758="", "", INDEX(Sheet1!$G:$J, MATCH(E758, Sheet1!$C:$C, 0), IF(COUNTIF(Sheet1!$G:$G, $I$8)&gt;0, 1, IF(COUNTIF(Sheet1!$H:$H, $I$8)&gt;0, 2, IF(COUNTIF(Sheet1!$I:$I, $I$8)&gt;0, 3, IF(COUNTIF(Sheet1!$J:$J, $I$8)&gt;0, 4, 0)))))), "")</f>
        <v/>
      </c>
    </row>
    <row r="759" spans="9:9" x14ac:dyDescent="0.25">
      <c r="I759" s="3" t="str" cm="1">
        <f t="array" ref="I759">IFERROR(IF(E759="", "", INDEX(Sheet1!$G:$J, MATCH(E759, Sheet1!$C:$C, 0), IF(COUNTIF(Sheet1!$G:$G, $I$8)&gt;0, 1, IF(COUNTIF(Sheet1!$H:$H, $I$8)&gt;0, 2, IF(COUNTIF(Sheet1!$I:$I, $I$8)&gt;0, 3, IF(COUNTIF(Sheet1!$J:$J, $I$8)&gt;0, 4, 0)))))), "")</f>
        <v/>
      </c>
    </row>
    <row r="760" spans="9:9" x14ac:dyDescent="0.25">
      <c r="I760" s="3" t="str" cm="1">
        <f t="array" ref="I760">IFERROR(IF(E760="", "", INDEX(Sheet1!$G:$J, MATCH(E760, Sheet1!$C:$C, 0), IF(COUNTIF(Sheet1!$G:$G, $I$8)&gt;0, 1, IF(COUNTIF(Sheet1!$H:$H, $I$8)&gt;0, 2, IF(COUNTIF(Sheet1!$I:$I, $I$8)&gt;0, 3, IF(COUNTIF(Sheet1!$J:$J, $I$8)&gt;0, 4, 0)))))), "")</f>
        <v/>
      </c>
    </row>
    <row r="761" spans="9:9" x14ac:dyDescent="0.25">
      <c r="I761" s="3" t="str" cm="1">
        <f t="array" ref="I761">IFERROR(IF(E761="", "", INDEX(Sheet1!$G:$J, MATCH(E761, Sheet1!$C:$C, 0), IF(COUNTIF(Sheet1!$G:$G, $I$8)&gt;0, 1, IF(COUNTIF(Sheet1!$H:$H, $I$8)&gt;0, 2, IF(COUNTIF(Sheet1!$I:$I, $I$8)&gt;0, 3, IF(COUNTIF(Sheet1!$J:$J, $I$8)&gt;0, 4, 0)))))), "")</f>
        <v/>
      </c>
    </row>
    <row r="762" spans="9:9" x14ac:dyDescent="0.25">
      <c r="I762" s="3" t="str" cm="1">
        <f t="array" ref="I762">IFERROR(IF(E762="", "", INDEX(Sheet1!$G:$J, MATCH(E762, Sheet1!$C:$C, 0), IF(COUNTIF(Sheet1!$G:$G, $I$8)&gt;0, 1, IF(COUNTIF(Sheet1!$H:$H, $I$8)&gt;0, 2, IF(COUNTIF(Sheet1!$I:$I, $I$8)&gt;0, 3, IF(COUNTIF(Sheet1!$J:$J, $I$8)&gt;0, 4, 0)))))), "")</f>
        <v/>
      </c>
    </row>
    <row r="763" spans="9:9" x14ac:dyDescent="0.25">
      <c r="I763" s="3" t="str" cm="1">
        <f t="array" ref="I763">IFERROR(IF(E763="", "", INDEX(Sheet1!$G:$J, MATCH(E763, Sheet1!$C:$C, 0), IF(COUNTIF(Sheet1!$G:$G, $I$8)&gt;0, 1, IF(COUNTIF(Sheet1!$H:$H, $I$8)&gt;0, 2, IF(COUNTIF(Sheet1!$I:$I, $I$8)&gt;0, 3, IF(COUNTIF(Sheet1!$J:$J, $I$8)&gt;0, 4, 0)))))), "")</f>
        <v/>
      </c>
    </row>
    <row r="764" spans="9:9" x14ac:dyDescent="0.25">
      <c r="I764" s="3" t="str" cm="1">
        <f t="array" ref="I764">IFERROR(IF(E764="", "", INDEX(Sheet1!$G:$J, MATCH(E764, Sheet1!$C:$C, 0), IF(COUNTIF(Sheet1!$G:$G, $I$8)&gt;0, 1, IF(COUNTIF(Sheet1!$H:$H, $I$8)&gt;0, 2, IF(COUNTIF(Sheet1!$I:$I, $I$8)&gt;0, 3, IF(COUNTIF(Sheet1!$J:$J, $I$8)&gt;0, 4, 0)))))), "")</f>
        <v/>
      </c>
    </row>
    <row r="765" spans="9:9" x14ac:dyDescent="0.25">
      <c r="I765" s="3" t="str" cm="1">
        <f t="array" ref="I765">IFERROR(IF(E765="", "", INDEX(Sheet1!$G:$J, MATCH(E765, Sheet1!$C:$C, 0), IF(COUNTIF(Sheet1!$G:$G, $I$8)&gt;0, 1, IF(COUNTIF(Sheet1!$H:$H, $I$8)&gt;0, 2, IF(COUNTIF(Sheet1!$I:$I, $I$8)&gt;0, 3, IF(COUNTIF(Sheet1!$J:$J, $I$8)&gt;0, 4, 0)))))), "")</f>
        <v/>
      </c>
    </row>
    <row r="766" spans="9:9" x14ac:dyDescent="0.25">
      <c r="I766" s="3" t="str" cm="1">
        <f t="array" ref="I766">IFERROR(IF(E766="", "", INDEX(Sheet1!$G:$J, MATCH(E766, Sheet1!$C:$C, 0), IF(COUNTIF(Sheet1!$G:$G, $I$8)&gt;0, 1, IF(COUNTIF(Sheet1!$H:$H, $I$8)&gt;0, 2, IF(COUNTIF(Sheet1!$I:$I, $I$8)&gt;0, 3, IF(COUNTIF(Sheet1!$J:$J, $I$8)&gt;0, 4, 0)))))), "")</f>
        <v/>
      </c>
    </row>
    <row r="767" spans="9:9" x14ac:dyDescent="0.25">
      <c r="I767" s="3" t="str" cm="1">
        <f t="array" ref="I767">IFERROR(IF(E767="", "", INDEX(Sheet1!$G:$J, MATCH(E767, Sheet1!$C:$C, 0), IF(COUNTIF(Sheet1!$G:$G, $I$8)&gt;0, 1, IF(COUNTIF(Sheet1!$H:$H, $I$8)&gt;0, 2, IF(COUNTIF(Sheet1!$I:$I, $I$8)&gt;0, 3, IF(COUNTIF(Sheet1!$J:$J, $I$8)&gt;0, 4, 0)))))), "")</f>
        <v/>
      </c>
    </row>
    <row r="768" spans="9:9" x14ac:dyDescent="0.25">
      <c r="I768" s="3" t="str" cm="1">
        <f t="array" ref="I768">IFERROR(IF(E768="", "", INDEX(Sheet1!$G:$J, MATCH(E768, Sheet1!$C:$C, 0), IF(COUNTIF(Sheet1!$G:$G, $I$8)&gt;0, 1, IF(COUNTIF(Sheet1!$H:$H, $I$8)&gt;0, 2, IF(COUNTIF(Sheet1!$I:$I, $I$8)&gt;0, 3, IF(COUNTIF(Sheet1!$J:$J, $I$8)&gt;0, 4, 0)))))), "")</f>
        <v/>
      </c>
    </row>
    <row r="769" spans="9:9" x14ac:dyDescent="0.25">
      <c r="I769" s="3" t="str" cm="1">
        <f t="array" ref="I769">IFERROR(IF(E769="", "", INDEX(Sheet1!$G:$J, MATCH(E769, Sheet1!$C:$C, 0), IF(COUNTIF(Sheet1!$G:$G, $I$8)&gt;0, 1, IF(COUNTIF(Sheet1!$H:$H, $I$8)&gt;0, 2, IF(COUNTIF(Sheet1!$I:$I, $I$8)&gt;0, 3, IF(COUNTIF(Sheet1!$J:$J, $I$8)&gt;0, 4, 0)))))), "")</f>
        <v/>
      </c>
    </row>
    <row r="770" spans="9:9" x14ac:dyDescent="0.25">
      <c r="I770" s="3" t="str" cm="1">
        <f t="array" ref="I770">IFERROR(IF(E770="", "", INDEX(Sheet1!$G:$J, MATCH(E770, Sheet1!$C:$C, 0), IF(COUNTIF(Sheet1!$G:$G, $I$8)&gt;0, 1, IF(COUNTIF(Sheet1!$H:$H, $I$8)&gt;0, 2, IF(COUNTIF(Sheet1!$I:$I, $I$8)&gt;0, 3, IF(COUNTIF(Sheet1!$J:$J, $I$8)&gt;0, 4, 0)))))), "")</f>
        <v/>
      </c>
    </row>
    <row r="771" spans="9:9" x14ac:dyDescent="0.25">
      <c r="I771" s="3" t="str" cm="1">
        <f t="array" ref="I771">IFERROR(IF(E771="", "", INDEX(Sheet1!$G:$J, MATCH(E771, Sheet1!$C:$C, 0), IF(COUNTIF(Sheet1!$G:$G, $I$8)&gt;0, 1, IF(COUNTIF(Sheet1!$H:$H, $I$8)&gt;0, 2, IF(COUNTIF(Sheet1!$I:$I, $I$8)&gt;0, 3, IF(COUNTIF(Sheet1!$J:$J, $I$8)&gt;0, 4, 0)))))), "")</f>
        <v/>
      </c>
    </row>
    <row r="772" spans="9:9" x14ac:dyDescent="0.25">
      <c r="I772" s="3" t="str" cm="1">
        <f t="array" ref="I772">IFERROR(IF(E772="", "", INDEX(Sheet1!$G:$J, MATCH(E772, Sheet1!$C:$C, 0), IF(COUNTIF(Sheet1!$G:$G, $I$8)&gt;0, 1, IF(COUNTIF(Sheet1!$H:$H, $I$8)&gt;0, 2, IF(COUNTIF(Sheet1!$I:$I, $I$8)&gt;0, 3, IF(COUNTIF(Sheet1!$J:$J, $I$8)&gt;0, 4, 0)))))), "")</f>
        <v/>
      </c>
    </row>
    <row r="773" spans="9:9" x14ac:dyDescent="0.25">
      <c r="I773" s="3" t="str" cm="1">
        <f t="array" ref="I773">IFERROR(IF(E773="", "", INDEX(Sheet1!$G:$J, MATCH(E773, Sheet1!$C:$C, 0), IF(COUNTIF(Sheet1!$G:$G, $I$8)&gt;0, 1, IF(COUNTIF(Sheet1!$H:$H, $I$8)&gt;0, 2, IF(COUNTIF(Sheet1!$I:$I, $I$8)&gt;0, 3, IF(COUNTIF(Sheet1!$J:$J, $I$8)&gt;0, 4, 0)))))), "")</f>
        <v/>
      </c>
    </row>
    <row r="774" spans="9:9" x14ac:dyDescent="0.25">
      <c r="I774" s="3" t="str" cm="1">
        <f t="array" ref="I774">IFERROR(IF(E774="", "", INDEX(Sheet1!$G:$J, MATCH(E774, Sheet1!$C:$C, 0), IF(COUNTIF(Sheet1!$G:$G, $I$8)&gt;0, 1, IF(COUNTIF(Sheet1!$H:$H, $I$8)&gt;0, 2, IF(COUNTIF(Sheet1!$I:$I, $I$8)&gt;0, 3, IF(COUNTIF(Sheet1!$J:$J, $I$8)&gt;0, 4, 0)))))), "")</f>
        <v/>
      </c>
    </row>
  </sheetData>
  <sheetProtection algorithmName="SHA-512" hashValue="k8aC1HRVNgbpwQJMLVKHjQnbUmYgBILScR5FHSAN0zN92NCE7VNO6i/izpR1oKp9aCIzeF0RpRan+p8EWyncDQ==" saltValue="2RfJ30x4MMXpGV121jlGBw==" spinCount="100000" sheet="1" objects="1" scenarios="1"/>
  <mergeCells count="2">
    <mergeCell ref="F4:F5"/>
    <mergeCell ref="D4:E5"/>
  </mergeCells>
  <conditionalFormatting sqref="A775:XFD1048576 M12:XFD13 A1:XFD9 J10:XFD11 J12:J13 J14:XFD774 A10:I774">
    <cfRule type="expression" dxfId="2" priority="1">
      <formula>AND(A1&lt;&gt;"", A1&lt;&gt;0, A1&lt;&gt;"0")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Worng Input" error="Product Not Found" xr:uid="{80D7147E-7A60-464D-8603-45109CAFFECE}">
          <x14:formula1>
            <xm:f>Sheet3!$C$3:$C$26</xm:f>
          </x14:formula1>
          <xm:sqref>F4:F5</xm:sqref>
        </x14:dataValidation>
        <x14:dataValidation type="list" allowBlank="1" showInputMessage="1" showErrorMessage="1" xr:uid="{77A121E3-25BD-4870-AB89-FE3F77625101}">
          <x14:formula1>
            <xm:f>Sheet3!$E$2:$E$7</xm:f>
          </x14:formula1>
          <xm:sqref>I8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17"/>
  <sheetViews>
    <sheetView topLeftCell="A38" workbookViewId="0">
      <selection activeCell="L44" sqref="L44"/>
    </sheetView>
  </sheetViews>
  <sheetFormatPr defaultRowHeight="15" x14ac:dyDescent="0.25"/>
  <cols>
    <col min="1" max="1" width="4" style="29" bestFit="1" customWidth="1"/>
    <col min="2" max="2" width="10.42578125" style="29" bestFit="1" customWidth="1"/>
    <col min="3" max="3" width="9.5703125" style="29" bestFit="1" customWidth="1"/>
    <col min="4" max="4" width="29.42578125" style="3" bestFit="1" customWidth="1"/>
    <col min="5" max="5" width="8" style="3" bestFit="1" customWidth="1"/>
    <col min="6" max="6" width="5" style="3" bestFit="1" customWidth="1"/>
    <col min="7" max="7" width="10.140625" style="3" bestFit="1" customWidth="1"/>
    <col min="8" max="16384" width="9.140625" style="3"/>
  </cols>
  <sheetData>
    <row r="1" spans="1:14" ht="21" x14ac:dyDescent="0.25">
      <c r="A1" s="4" t="s">
        <v>0</v>
      </c>
      <c r="B1" s="4" t="s">
        <v>204</v>
      </c>
      <c r="C1" s="4" t="s">
        <v>34</v>
      </c>
      <c r="D1" s="4" t="s">
        <v>7</v>
      </c>
      <c r="E1" s="4" t="s">
        <v>8</v>
      </c>
      <c r="F1" s="4" t="s">
        <v>1</v>
      </c>
      <c r="G1" s="4" t="s">
        <v>6</v>
      </c>
      <c r="H1" s="4" t="s">
        <v>3</v>
      </c>
      <c r="I1" s="4" t="s">
        <v>5</v>
      </c>
      <c r="J1" s="4" t="s">
        <v>4</v>
      </c>
      <c r="K1" s="7"/>
      <c r="L1" s="7"/>
    </row>
    <row r="2" spans="1:14" x14ac:dyDescent="0.25">
      <c r="A2" s="8">
        <v>1</v>
      </c>
      <c r="B2" s="8" t="s">
        <v>202</v>
      </c>
      <c r="C2" s="8" t="s">
        <v>9</v>
      </c>
      <c r="D2" s="9" t="s">
        <v>10</v>
      </c>
      <c r="E2" s="9">
        <v>1.8</v>
      </c>
      <c r="F2" s="9">
        <v>2425</v>
      </c>
      <c r="G2" s="10">
        <f>F2*90%</f>
        <v>2182.5</v>
      </c>
      <c r="H2" s="11">
        <f>F2*90%*98%</f>
        <v>2138.85</v>
      </c>
      <c r="I2" s="10">
        <f>F2*88%</f>
        <v>2134</v>
      </c>
      <c r="J2" s="11">
        <f>F2*88%*98%</f>
        <v>2091.3200000000002</v>
      </c>
    </row>
    <row r="3" spans="1:14" x14ac:dyDescent="0.25">
      <c r="A3" s="12">
        <v>2</v>
      </c>
      <c r="B3" s="12" t="s">
        <v>202</v>
      </c>
      <c r="C3" s="12" t="s">
        <v>11</v>
      </c>
      <c r="D3" s="13" t="s">
        <v>15</v>
      </c>
      <c r="E3" s="13">
        <v>1.8</v>
      </c>
      <c r="F3" s="13">
        <v>2075</v>
      </c>
      <c r="G3" s="14">
        <f t="shared" ref="G3:G18" si="0">F3*90%</f>
        <v>1867.5</v>
      </c>
      <c r="H3" s="15">
        <f t="shared" ref="H3:H5" si="1">F3*90%*98%</f>
        <v>1830.1499999999999</v>
      </c>
      <c r="I3" s="14">
        <f t="shared" ref="I3:I5" si="2">F3*88%</f>
        <v>1826</v>
      </c>
      <c r="J3" s="15">
        <f t="shared" ref="J3:J5" si="3">F3*88%*98%</f>
        <v>1789.48</v>
      </c>
    </row>
    <row r="4" spans="1:14" x14ac:dyDescent="0.25">
      <c r="A4" s="12">
        <v>3</v>
      </c>
      <c r="B4" s="12" t="s">
        <v>202</v>
      </c>
      <c r="C4" s="12" t="s">
        <v>14</v>
      </c>
      <c r="D4" s="13" t="s">
        <v>16</v>
      </c>
      <c r="E4" s="13">
        <v>1.8</v>
      </c>
      <c r="F4" s="13">
        <v>2075</v>
      </c>
      <c r="G4" s="14">
        <f t="shared" si="0"/>
        <v>1867.5</v>
      </c>
      <c r="H4" s="15">
        <f t="shared" si="1"/>
        <v>1830.1499999999999</v>
      </c>
      <c r="I4" s="14">
        <f t="shared" si="2"/>
        <v>1826</v>
      </c>
      <c r="J4" s="15">
        <f t="shared" si="3"/>
        <v>1789.48</v>
      </c>
    </row>
    <row r="5" spans="1:14" x14ac:dyDescent="0.25">
      <c r="A5" s="12">
        <v>4</v>
      </c>
      <c r="B5" s="12" t="s">
        <v>202</v>
      </c>
      <c r="C5" s="12" t="s">
        <v>12</v>
      </c>
      <c r="D5" s="13" t="s">
        <v>13</v>
      </c>
      <c r="E5" s="13">
        <v>1.8</v>
      </c>
      <c r="F5" s="13">
        <v>2535</v>
      </c>
      <c r="G5" s="14">
        <f t="shared" si="0"/>
        <v>2281.5</v>
      </c>
      <c r="H5" s="15">
        <f t="shared" si="1"/>
        <v>2235.87</v>
      </c>
      <c r="I5" s="14">
        <f t="shared" si="2"/>
        <v>2230.8000000000002</v>
      </c>
      <c r="J5" s="15">
        <f t="shared" si="3"/>
        <v>2186.1840000000002</v>
      </c>
    </row>
    <row r="6" spans="1:14" x14ac:dyDescent="0.25">
      <c r="A6" s="12">
        <v>5</v>
      </c>
      <c r="B6" s="12" t="s">
        <v>202</v>
      </c>
      <c r="C6" s="12" t="s">
        <v>17</v>
      </c>
      <c r="D6" s="13" t="s">
        <v>18</v>
      </c>
      <c r="E6" s="13">
        <v>1.8</v>
      </c>
      <c r="F6" s="13">
        <v>2585</v>
      </c>
      <c r="G6" s="14">
        <f t="shared" si="0"/>
        <v>2326.5</v>
      </c>
      <c r="H6" s="15">
        <f t="shared" ref="H6:H18" si="4">F6*90%*98%</f>
        <v>2279.9699999999998</v>
      </c>
      <c r="I6" s="14">
        <f t="shared" ref="I6:I18" si="5">F6*88%</f>
        <v>2274.8000000000002</v>
      </c>
      <c r="J6" s="15">
        <f t="shared" ref="J6:J18" si="6">F6*88%*98%</f>
        <v>2229.3040000000001</v>
      </c>
    </row>
    <row r="7" spans="1:14" x14ac:dyDescent="0.25">
      <c r="A7" s="8">
        <v>6</v>
      </c>
      <c r="B7" s="8" t="s">
        <v>202</v>
      </c>
      <c r="C7" s="8" t="s">
        <v>19</v>
      </c>
      <c r="D7" s="9" t="s">
        <v>20</v>
      </c>
      <c r="E7" s="9">
        <v>1.8</v>
      </c>
      <c r="F7" s="9">
        <v>2475</v>
      </c>
      <c r="G7" s="10">
        <f t="shared" si="0"/>
        <v>2227.5</v>
      </c>
      <c r="H7" s="11">
        <f t="shared" si="4"/>
        <v>2182.9499999999998</v>
      </c>
      <c r="I7" s="10">
        <f t="shared" si="5"/>
        <v>2178</v>
      </c>
      <c r="J7" s="11">
        <f t="shared" si="6"/>
        <v>2134.44</v>
      </c>
    </row>
    <row r="8" spans="1:14" x14ac:dyDescent="0.25">
      <c r="A8" s="12">
        <v>7</v>
      </c>
      <c r="B8" s="12" t="s">
        <v>202</v>
      </c>
      <c r="C8" s="12" t="s">
        <v>21</v>
      </c>
      <c r="D8" s="13" t="s">
        <v>22</v>
      </c>
      <c r="E8" s="13">
        <v>1.8</v>
      </c>
      <c r="F8" s="13">
        <v>2125</v>
      </c>
      <c r="G8" s="14">
        <f t="shared" si="0"/>
        <v>1912.5</v>
      </c>
      <c r="H8" s="15">
        <f t="shared" si="4"/>
        <v>1874.25</v>
      </c>
      <c r="I8" s="14">
        <f t="shared" si="5"/>
        <v>1870</v>
      </c>
      <c r="J8" s="15">
        <f t="shared" si="6"/>
        <v>1832.6</v>
      </c>
      <c r="M8" s="16"/>
      <c r="N8" s="16"/>
    </row>
    <row r="9" spans="1:14" x14ac:dyDescent="0.25">
      <c r="A9" s="12">
        <v>8</v>
      </c>
      <c r="B9" s="12" t="s">
        <v>202</v>
      </c>
      <c r="C9" s="12" t="s">
        <v>23</v>
      </c>
      <c r="D9" s="13" t="s">
        <v>24</v>
      </c>
      <c r="E9" s="13">
        <v>1.8</v>
      </c>
      <c r="F9" s="13">
        <v>2125</v>
      </c>
      <c r="G9" s="14">
        <f t="shared" si="0"/>
        <v>1912.5</v>
      </c>
      <c r="H9" s="15">
        <f t="shared" si="4"/>
        <v>1874.25</v>
      </c>
      <c r="I9" s="14">
        <f t="shared" si="5"/>
        <v>1870</v>
      </c>
      <c r="J9" s="15">
        <f t="shared" si="6"/>
        <v>1832.6</v>
      </c>
    </row>
    <row r="10" spans="1:14" x14ac:dyDescent="0.25">
      <c r="A10" s="8">
        <v>9</v>
      </c>
      <c r="B10" s="8" t="s">
        <v>202</v>
      </c>
      <c r="C10" s="8" t="s">
        <v>25</v>
      </c>
      <c r="D10" s="9" t="s">
        <v>10</v>
      </c>
      <c r="E10" s="9">
        <v>2.8</v>
      </c>
      <c r="F10" s="9">
        <v>2965</v>
      </c>
      <c r="G10" s="10">
        <f t="shared" si="0"/>
        <v>2668.5</v>
      </c>
      <c r="H10" s="11">
        <f t="shared" si="4"/>
        <v>2615.13</v>
      </c>
      <c r="I10" s="10">
        <f t="shared" si="5"/>
        <v>2609.1999999999998</v>
      </c>
      <c r="J10" s="11">
        <f t="shared" si="6"/>
        <v>2557.0159999999996</v>
      </c>
    </row>
    <row r="11" spans="1:14" x14ac:dyDescent="0.25">
      <c r="A11" s="12">
        <v>10</v>
      </c>
      <c r="B11" s="12" t="s">
        <v>202</v>
      </c>
      <c r="C11" s="12" t="s">
        <v>26</v>
      </c>
      <c r="D11" s="13" t="s">
        <v>15</v>
      </c>
      <c r="E11" s="13">
        <v>2.8</v>
      </c>
      <c r="F11" s="13">
        <v>2570</v>
      </c>
      <c r="G11" s="14">
        <f t="shared" si="0"/>
        <v>2313</v>
      </c>
      <c r="H11" s="15">
        <f t="shared" si="4"/>
        <v>2266.7399999999998</v>
      </c>
      <c r="I11" s="14">
        <f t="shared" si="5"/>
        <v>2261.6</v>
      </c>
      <c r="J11" s="15">
        <f t="shared" si="6"/>
        <v>2216.3679999999999</v>
      </c>
    </row>
    <row r="12" spans="1:14" x14ac:dyDescent="0.25">
      <c r="A12" s="12">
        <v>11</v>
      </c>
      <c r="B12" s="12" t="s">
        <v>202</v>
      </c>
      <c r="C12" s="12" t="s">
        <v>27</v>
      </c>
      <c r="D12" s="13" t="s">
        <v>16</v>
      </c>
      <c r="E12" s="13">
        <v>2.8</v>
      </c>
      <c r="F12" s="13">
        <v>2570</v>
      </c>
      <c r="G12" s="14">
        <f t="shared" si="0"/>
        <v>2313</v>
      </c>
      <c r="H12" s="15">
        <f t="shared" si="4"/>
        <v>2266.7399999999998</v>
      </c>
      <c r="I12" s="14">
        <f t="shared" si="5"/>
        <v>2261.6</v>
      </c>
      <c r="J12" s="15">
        <f t="shared" si="6"/>
        <v>2216.3679999999999</v>
      </c>
    </row>
    <row r="13" spans="1:14" x14ac:dyDescent="0.25">
      <c r="A13" s="12">
        <v>12</v>
      </c>
      <c r="B13" s="12" t="s">
        <v>202</v>
      </c>
      <c r="C13" s="12" t="s">
        <v>28</v>
      </c>
      <c r="D13" s="13" t="s">
        <v>13</v>
      </c>
      <c r="E13" s="13">
        <v>2.8</v>
      </c>
      <c r="F13" s="13">
        <v>3120</v>
      </c>
      <c r="G13" s="14">
        <f t="shared" si="0"/>
        <v>2808</v>
      </c>
      <c r="H13" s="15">
        <f t="shared" si="4"/>
        <v>2751.84</v>
      </c>
      <c r="I13" s="14">
        <f t="shared" si="5"/>
        <v>2745.6</v>
      </c>
      <c r="J13" s="15">
        <f t="shared" si="6"/>
        <v>2690.6879999999996</v>
      </c>
    </row>
    <row r="14" spans="1:14" x14ac:dyDescent="0.25">
      <c r="A14" s="8">
        <v>13</v>
      </c>
      <c r="B14" s="8" t="s">
        <v>202</v>
      </c>
      <c r="C14" s="8" t="s">
        <v>29</v>
      </c>
      <c r="D14" s="9" t="s">
        <v>20</v>
      </c>
      <c r="E14" s="9">
        <v>2.8</v>
      </c>
      <c r="F14" s="9">
        <v>3015</v>
      </c>
      <c r="G14" s="10">
        <f t="shared" si="0"/>
        <v>2713.5</v>
      </c>
      <c r="H14" s="11">
        <f t="shared" si="4"/>
        <v>2659.23</v>
      </c>
      <c r="I14" s="10">
        <f t="shared" si="5"/>
        <v>2653.2</v>
      </c>
      <c r="J14" s="11">
        <f t="shared" si="6"/>
        <v>2600.136</v>
      </c>
    </row>
    <row r="15" spans="1:14" x14ac:dyDescent="0.25">
      <c r="A15" s="12">
        <v>14</v>
      </c>
      <c r="B15" s="12" t="s">
        <v>202</v>
      </c>
      <c r="C15" s="12" t="s">
        <v>30</v>
      </c>
      <c r="D15" s="13" t="s">
        <v>22</v>
      </c>
      <c r="E15" s="13">
        <v>2.8</v>
      </c>
      <c r="F15" s="13">
        <v>2620</v>
      </c>
      <c r="G15" s="14">
        <f t="shared" si="0"/>
        <v>2358</v>
      </c>
      <c r="H15" s="15">
        <f t="shared" si="4"/>
        <v>2310.84</v>
      </c>
      <c r="I15" s="14">
        <f t="shared" si="5"/>
        <v>2305.6</v>
      </c>
      <c r="J15" s="15">
        <f t="shared" si="6"/>
        <v>2259.4879999999998</v>
      </c>
    </row>
    <row r="16" spans="1:14" x14ac:dyDescent="0.25">
      <c r="A16" s="12">
        <v>15</v>
      </c>
      <c r="B16" s="12" t="s">
        <v>202</v>
      </c>
      <c r="C16" s="12" t="s">
        <v>31</v>
      </c>
      <c r="D16" s="13" t="s">
        <v>24</v>
      </c>
      <c r="E16" s="13">
        <v>2.8</v>
      </c>
      <c r="F16" s="13">
        <v>2620</v>
      </c>
      <c r="G16" s="14">
        <f t="shared" si="0"/>
        <v>2358</v>
      </c>
      <c r="H16" s="15">
        <f t="shared" si="4"/>
        <v>2310.84</v>
      </c>
      <c r="I16" s="14">
        <f t="shared" si="5"/>
        <v>2305.6</v>
      </c>
      <c r="J16" s="15">
        <f t="shared" si="6"/>
        <v>2259.4879999999998</v>
      </c>
    </row>
    <row r="17" spans="1:10" x14ac:dyDescent="0.25">
      <c r="A17" s="12">
        <v>16</v>
      </c>
      <c r="B17" s="12" t="s">
        <v>202</v>
      </c>
      <c r="C17" s="12" t="s">
        <v>32</v>
      </c>
      <c r="D17" s="13" t="s">
        <v>33</v>
      </c>
      <c r="E17" s="13">
        <v>1.8</v>
      </c>
      <c r="F17" s="13">
        <v>2480</v>
      </c>
      <c r="G17" s="14">
        <f t="shared" si="0"/>
        <v>2232</v>
      </c>
      <c r="H17" s="15">
        <f t="shared" si="4"/>
        <v>2187.36</v>
      </c>
      <c r="I17" s="14">
        <f t="shared" si="5"/>
        <v>2182.4</v>
      </c>
      <c r="J17" s="15">
        <f t="shared" si="6"/>
        <v>2138.752</v>
      </c>
    </row>
    <row r="18" spans="1:10" x14ac:dyDescent="0.25">
      <c r="A18" s="8">
        <v>17</v>
      </c>
      <c r="B18" s="8" t="s">
        <v>202</v>
      </c>
      <c r="C18" s="8" t="s">
        <v>201</v>
      </c>
      <c r="D18" s="9" t="s">
        <v>33</v>
      </c>
      <c r="E18" s="9">
        <v>2.8</v>
      </c>
      <c r="F18" s="9">
        <v>3020</v>
      </c>
      <c r="G18" s="10">
        <f t="shared" si="0"/>
        <v>2718</v>
      </c>
      <c r="H18" s="11">
        <f t="shared" si="4"/>
        <v>2663.64</v>
      </c>
      <c r="I18" s="10">
        <f t="shared" si="5"/>
        <v>2657.6</v>
      </c>
      <c r="J18" s="11">
        <f t="shared" si="6"/>
        <v>2604.4479999999999</v>
      </c>
    </row>
    <row r="19" spans="1:10" x14ac:dyDescent="0.25">
      <c r="A19" s="12"/>
      <c r="B19" s="12"/>
      <c r="C19" s="12"/>
      <c r="D19" s="13"/>
      <c r="E19" s="13"/>
      <c r="F19" s="13"/>
      <c r="G19" s="13"/>
      <c r="H19" s="13"/>
      <c r="I19" s="13"/>
      <c r="J19" s="13"/>
    </row>
    <row r="20" spans="1:10" x14ac:dyDescent="0.25">
      <c r="A20" s="12"/>
      <c r="B20" s="12"/>
      <c r="C20" s="12"/>
      <c r="D20" s="13"/>
      <c r="E20" s="13"/>
      <c r="F20" s="13"/>
      <c r="G20" s="13"/>
      <c r="H20" s="13"/>
      <c r="I20" s="13"/>
      <c r="J20" s="13"/>
    </row>
    <row r="21" spans="1:10" ht="21" x14ac:dyDescent="0.25">
      <c r="A21" s="4" t="s">
        <v>0</v>
      </c>
      <c r="B21" s="4" t="s">
        <v>204</v>
      </c>
      <c r="C21" s="4" t="s">
        <v>34</v>
      </c>
      <c r="D21" s="4" t="s">
        <v>35</v>
      </c>
      <c r="E21" s="4" t="s">
        <v>8</v>
      </c>
      <c r="F21" s="4" t="s">
        <v>1</v>
      </c>
      <c r="G21" s="4" t="s">
        <v>6</v>
      </c>
      <c r="H21" s="4" t="s">
        <v>3</v>
      </c>
      <c r="I21" s="4" t="s">
        <v>5</v>
      </c>
      <c r="J21" s="4" t="s">
        <v>4</v>
      </c>
    </row>
    <row r="22" spans="1:10" x14ac:dyDescent="0.25">
      <c r="A22" s="12">
        <v>1</v>
      </c>
      <c r="B22" s="12" t="s">
        <v>203</v>
      </c>
      <c r="C22" s="12" t="s">
        <v>36</v>
      </c>
      <c r="D22" s="13" t="s">
        <v>37</v>
      </c>
      <c r="E22" s="13">
        <v>3.5</v>
      </c>
      <c r="F22" s="13">
        <v>1255</v>
      </c>
      <c r="G22" s="14">
        <f>F22*90%</f>
        <v>1129.5</v>
      </c>
      <c r="H22" s="15">
        <f>F22*90%*98%</f>
        <v>1106.9100000000001</v>
      </c>
      <c r="I22" s="14">
        <f>F22*88%</f>
        <v>1104.4000000000001</v>
      </c>
      <c r="J22" s="15">
        <f>F22*88%*98%</f>
        <v>1082.3120000000001</v>
      </c>
    </row>
    <row r="23" spans="1:10" x14ac:dyDescent="0.25">
      <c r="A23" s="12">
        <v>2</v>
      </c>
      <c r="B23" s="12" t="s">
        <v>203</v>
      </c>
      <c r="C23" s="12" t="s">
        <v>38</v>
      </c>
      <c r="D23" s="13" t="s">
        <v>37</v>
      </c>
      <c r="E23" s="13">
        <v>4.5</v>
      </c>
      <c r="F23" s="13">
        <v>1530</v>
      </c>
      <c r="G23" s="14">
        <f t="shared" ref="G23:G39" si="7">F23*90%</f>
        <v>1377</v>
      </c>
      <c r="H23" s="15">
        <f t="shared" ref="H23:H39" si="8">F23*90%*98%</f>
        <v>1349.46</v>
      </c>
      <c r="I23" s="14">
        <f t="shared" ref="I23:I39" si="9">F23*88%</f>
        <v>1346.4</v>
      </c>
      <c r="J23" s="15">
        <f t="shared" ref="J23:J39" si="10">F23*88%*98%</f>
        <v>1319.472</v>
      </c>
    </row>
    <row r="24" spans="1:10" x14ac:dyDescent="0.25">
      <c r="A24" s="12">
        <v>3</v>
      </c>
      <c r="B24" s="12" t="s">
        <v>203</v>
      </c>
      <c r="C24" s="12" t="s">
        <v>39</v>
      </c>
      <c r="D24" s="13" t="s">
        <v>37</v>
      </c>
      <c r="E24" s="13">
        <v>5.5</v>
      </c>
      <c r="F24" s="13">
        <v>1605</v>
      </c>
      <c r="G24" s="14">
        <f t="shared" si="7"/>
        <v>1444.5</v>
      </c>
      <c r="H24" s="15">
        <f t="shared" si="8"/>
        <v>1415.61</v>
      </c>
      <c r="I24" s="14">
        <f t="shared" si="9"/>
        <v>1412.4</v>
      </c>
      <c r="J24" s="15">
        <f t="shared" si="10"/>
        <v>1384.152</v>
      </c>
    </row>
    <row r="25" spans="1:10" x14ac:dyDescent="0.25">
      <c r="A25" s="12">
        <v>4</v>
      </c>
      <c r="B25" s="12" t="s">
        <v>203</v>
      </c>
      <c r="C25" s="12" t="s">
        <v>40</v>
      </c>
      <c r="D25" s="13" t="s">
        <v>37</v>
      </c>
      <c r="E25" s="13">
        <v>6.5</v>
      </c>
      <c r="F25" s="13">
        <v>1730</v>
      </c>
      <c r="G25" s="14">
        <f t="shared" si="7"/>
        <v>1557</v>
      </c>
      <c r="H25" s="15">
        <f t="shared" si="8"/>
        <v>1525.86</v>
      </c>
      <c r="I25" s="14">
        <f t="shared" si="9"/>
        <v>1522.4</v>
      </c>
      <c r="J25" s="15">
        <f t="shared" si="10"/>
        <v>1491.952</v>
      </c>
    </row>
    <row r="26" spans="1:10" x14ac:dyDescent="0.25">
      <c r="A26" s="12">
        <v>5</v>
      </c>
      <c r="B26" s="12" t="s">
        <v>203</v>
      </c>
      <c r="C26" s="12" t="s">
        <v>47</v>
      </c>
      <c r="D26" s="13" t="s">
        <v>37</v>
      </c>
      <c r="E26" s="13">
        <v>8</v>
      </c>
      <c r="F26" s="13">
        <v>2480</v>
      </c>
      <c r="G26" s="14">
        <f t="shared" si="7"/>
        <v>2232</v>
      </c>
      <c r="H26" s="15">
        <f t="shared" si="8"/>
        <v>2187.36</v>
      </c>
      <c r="I26" s="14">
        <f t="shared" si="9"/>
        <v>2182.4</v>
      </c>
      <c r="J26" s="15">
        <f t="shared" si="10"/>
        <v>2138.752</v>
      </c>
    </row>
    <row r="27" spans="1:10" x14ac:dyDescent="0.25">
      <c r="A27" s="12">
        <v>6</v>
      </c>
      <c r="B27" s="12" t="s">
        <v>203</v>
      </c>
      <c r="C27" s="12" t="s">
        <v>41</v>
      </c>
      <c r="D27" s="13" t="s">
        <v>50</v>
      </c>
      <c r="E27" s="13">
        <v>3.5</v>
      </c>
      <c r="F27" s="13">
        <v>1330</v>
      </c>
      <c r="G27" s="14">
        <f t="shared" si="7"/>
        <v>1197</v>
      </c>
      <c r="H27" s="15">
        <f t="shared" si="8"/>
        <v>1173.06</v>
      </c>
      <c r="I27" s="14">
        <f t="shared" si="9"/>
        <v>1170.4000000000001</v>
      </c>
      <c r="J27" s="15">
        <f t="shared" si="10"/>
        <v>1146.992</v>
      </c>
    </row>
    <row r="28" spans="1:10" x14ac:dyDescent="0.25">
      <c r="A28" s="12">
        <v>7</v>
      </c>
      <c r="B28" s="12" t="s">
        <v>203</v>
      </c>
      <c r="C28" s="12" t="s">
        <v>42</v>
      </c>
      <c r="D28" s="13" t="s">
        <v>50</v>
      </c>
      <c r="E28" s="13">
        <v>4.5</v>
      </c>
      <c r="F28" s="13">
        <v>1605</v>
      </c>
      <c r="G28" s="14">
        <f t="shared" si="7"/>
        <v>1444.5</v>
      </c>
      <c r="H28" s="15">
        <f t="shared" si="8"/>
        <v>1415.61</v>
      </c>
      <c r="I28" s="14">
        <f t="shared" si="9"/>
        <v>1412.4</v>
      </c>
      <c r="J28" s="15">
        <f t="shared" si="10"/>
        <v>1384.152</v>
      </c>
    </row>
    <row r="29" spans="1:10" x14ac:dyDescent="0.25">
      <c r="A29" s="12">
        <v>8</v>
      </c>
      <c r="B29" s="12" t="s">
        <v>203</v>
      </c>
      <c r="C29" s="12" t="s">
        <v>43</v>
      </c>
      <c r="D29" s="13" t="s">
        <v>50</v>
      </c>
      <c r="E29" s="13">
        <v>5.5</v>
      </c>
      <c r="F29" s="13">
        <v>1680</v>
      </c>
      <c r="G29" s="14">
        <f t="shared" si="7"/>
        <v>1512</v>
      </c>
      <c r="H29" s="15">
        <f t="shared" si="8"/>
        <v>1481.76</v>
      </c>
      <c r="I29" s="14">
        <f t="shared" si="9"/>
        <v>1478.4</v>
      </c>
      <c r="J29" s="15">
        <f t="shared" si="10"/>
        <v>1448.8320000000001</v>
      </c>
    </row>
    <row r="30" spans="1:10" x14ac:dyDescent="0.25">
      <c r="A30" s="12">
        <v>9</v>
      </c>
      <c r="B30" s="12" t="s">
        <v>203</v>
      </c>
      <c r="C30" s="12" t="s">
        <v>44</v>
      </c>
      <c r="D30" s="13" t="s">
        <v>50</v>
      </c>
      <c r="E30" s="13">
        <v>6.5</v>
      </c>
      <c r="F30" s="13">
        <v>1805</v>
      </c>
      <c r="G30" s="14">
        <f t="shared" si="7"/>
        <v>1624.5</v>
      </c>
      <c r="H30" s="15">
        <f t="shared" si="8"/>
        <v>1592.01</v>
      </c>
      <c r="I30" s="14">
        <f t="shared" si="9"/>
        <v>1588.4</v>
      </c>
      <c r="J30" s="15">
        <f t="shared" si="10"/>
        <v>1556.6320000000001</v>
      </c>
    </row>
    <row r="31" spans="1:10" x14ac:dyDescent="0.25">
      <c r="A31" s="12">
        <v>10</v>
      </c>
      <c r="B31" s="12" t="s">
        <v>203</v>
      </c>
      <c r="C31" s="12" t="s">
        <v>48</v>
      </c>
      <c r="D31" s="13" t="s">
        <v>50</v>
      </c>
      <c r="E31" s="13">
        <v>8</v>
      </c>
      <c r="F31" s="13">
        <v>2555</v>
      </c>
      <c r="G31" s="14">
        <f t="shared" si="7"/>
        <v>2299.5</v>
      </c>
      <c r="H31" s="15">
        <f t="shared" si="8"/>
        <v>2253.5099999999998</v>
      </c>
      <c r="I31" s="14">
        <f t="shared" si="9"/>
        <v>2248.4</v>
      </c>
      <c r="J31" s="15">
        <f t="shared" si="10"/>
        <v>2203.4320000000002</v>
      </c>
    </row>
    <row r="32" spans="1:10" x14ac:dyDescent="0.25">
      <c r="A32" s="12">
        <v>11</v>
      </c>
      <c r="B32" s="12" t="s">
        <v>203</v>
      </c>
      <c r="C32" s="12" t="s">
        <v>45</v>
      </c>
      <c r="D32" s="13" t="s">
        <v>37</v>
      </c>
      <c r="E32" s="13">
        <v>2.5</v>
      </c>
      <c r="F32" s="13">
        <v>1155</v>
      </c>
      <c r="G32" s="14">
        <f t="shared" si="7"/>
        <v>1039.5</v>
      </c>
      <c r="H32" s="15">
        <f t="shared" si="8"/>
        <v>1018.71</v>
      </c>
      <c r="I32" s="14">
        <f t="shared" si="9"/>
        <v>1016.4</v>
      </c>
      <c r="J32" s="15">
        <f t="shared" si="10"/>
        <v>996.072</v>
      </c>
    </row>
    <row r="33" spans="1:10" x14ac:dyDescent="0.25">
      <c r="A33" s="12">
        <v>12</v>
      </c>
      <c r="B33" s="12" t="s">
        <v>203</v>
      </c>
      <c r="C33" s="12" t="s">
        <v>46</v>
      </c>
      <c r="D33" s="13" t="s">
        <v>50</v>
      </c>
      <c r="E33" s="13">
        <v>2.5</v>
      </c>
      <c r="F33" s="13">
        <v>1230</v>
      </c>
      <c r="G33" s="14">
        <f t="shared" si="7"/>
        <v>1107</v>
      </c>
      <c r="H33" s="15">
        <f t="shared" si="8"/>
        <v>1084.8599999999999</v>
      </c>
      <c r="I33" s="14">
        <f t="shared" si="9"/>
        <v>1082.4000000000001</v>
      </c>
      <c r="J33" s="15">
        <f t="shared" si="10"/>
        <v>1060.7520000000002</v>
      </c>
    </row>
    <row r="34" spans="1:10" x14ac:dyDescent="0.25">
      <c r="A34" s="12">
        <v>13</v>
      </c>
      <c r="B34" s="12" t="s">
        <v>203</v>
      </c>
      <c r="C34" s="12" t="s">
        <v>51</v>
      </c>
      <c r="D34" s="13" t="s">
        <v>49</v>
      </c>
      <c r="E34" s="13">
        <v>3.5</v>
      </c>
      <c r="F34" s="13">
        <v>1355</v>
      </c>
      <c r="G34" s="14">
        <f t="shared" si="7"/>
        <v>1219.5</v>
      </c>
      <c r="H34" s="15">
        <f t="shared" si="8"/>
        <v>1195.1099999999999</v>
      </c>
      <c r="I34" s="14">
        <f t="shared" si="9"/>
        <v>1192.4000000000001</v>
      </c>
      <c r="J34" s="15">
        <f t="shared" si="10"/>
        <v>1168.5520000000001</v>
      </c>
    </row>
    <row r="35" spans="1:10" x14ac:dyDescent="0.25">
      <c r="A35" s="12">
        <v>14</v>
      </c>
      <c r="B35" s="12" t="s">
        <v>203</v>
      </c>
      <c r="C35" s="12" t="s">
        <v>52</v>
      </c>
      <c r="D35" s="13" t="s">
        <v>49</v>
      </c>
      <c r="E35" s="13">
        <v>4.5</v>
      </c>
      <c r="F35" s="13">
        <v>1605</v>
      </c>
      <c r="G35" s="14">
        <f t="shared" si="7"/>
        <v>1444.5</v>
      </c>
      <c r="H35" s="15">
        <f t="shared" si="8"/>
        <v>1415.61</v>
      </c>
      <c r="I35" s="14">
        <f t="shared" si="9"/>
        <v>1412.4</v>
      </c>
      <c r="J35" s="15">
        <f t="shared" si="10"/>
        <v>1384.152</v>
      </c>
    </row>
    <row r="36" spans="1:10" x14ac:dyDescent="0.25">
      <c r="A36" s="12">
        <v>15</v>
      </c>
      <c r="B36" s="12" t="s">
        <v>203</v>
      </c>
      <c r="C36" s="12" t="s">
        <v>53</v>
      </c>
      <c r="D36" s="13" t="s">
        <v>49</v>
      </c>
      <c r="E36" s="13">
        <v>5.5</v>
      </c>
      <c r="F36" s="13">
        <v>1680</v>
      </c>
      <c r="G36" s="14">
        <f t="shared" si="7"/>
        <v>1512</v>
      </c>
      <c r="H36" s="15">
        <f t="shared" si="8"/>
        <v>1481.76</v>
      </c>
      <c r="I36" s="14">
        <f t="shared" si="9"/>
        <v>1478.4</v>
      </c>
      <c r="J36" s="15">
        <f t="shared" si="10"/>
        <v>1448.8320000000001</v>
      </c>
    </row>
    <row r="37" spans="1:10" x14ac:dyDescent="0.25">
      <c r="A37" s="12">
        <v>16</v>
      </c>
      <c r="B37" s="12" t="s">
        <v>203</v>
      </c>
      <c r="C37" s="12" t="s">
        <v>54</v>
      </c>
      <c r="D37" s="13" t="s">
        <v>57</v>
      </c>
      <c r="E37" s="13">
        <v>3.5</v>
      </c>
      <c r="F37" s="13">
        <v>1430</v>
      </c>
      <c r="G37" s="14">
        <f t="shared" si="7"/>
        <v>1287</v>
      </c>
      <c r="H37" s="15">
        <f t="shared" si="8"/>
        <v>1261.26</v>
      </c>
      <c r="I37" s="14">
        <f t="shared" si="9"/>
        <v>1258.4000000000001</v>
      </c>
      <c r="J37" s="15">
        <f t="shared" si="10"/>
        <v>1233.232</v>
      </c>
    </row>
    <row r="38" spans="1:10" x14ac:dyDescent="0.25">
      <c r="A38" s="12">
        <v>17</v>
      </c>
      <c r="B38" s="12" t="s">
        <v>203</v>
      </c>
      <c r="C38" s="12" t="s">
        <v>55</v>
      </c>
      <c r="D38" s="13" t="s">
        <v>57</v>
      </c>
      <c r="E38" s="13">
        <v>4.5</v>
      </c>
      <c r="F38" s="13">
        <v>1680</v>
      </c>
      <c r="G38" s="14">
        <f t="shared" si="7"/>
        <v>1512</v>
      </c>
      <c r="H38" s="15">
        <f t="shared" si="8"/>
        <v>1481.76</v>
      </c>
      <c r="I38" s="14">
        <f t="shared" si="9"/>
        <v>1478.4</v>
      </c>
      <c r="J38" s="15">
        <f t="shared" si="10"/>
        <v>1448.8320000000001</v>
      </c>
    </row>
    <row r="39" spans="1:10" x14ac:dyDescent="0.25">
      <c r="A39" s="12">
        <v>18</v>
      </c>
      <c r="B39" s="12" t="s">
        <v>203</v>
      </c>
      <c r="C39" s="12" t="s">
        <v>56</v>
      </c>
      <c r="D39" s="13" t="s">
        <v>57</v>
      </c>
      <c r="E39" s="13">
        <v>5.5</v>
      </c>
      <c r="F39" s="13">
        <v>1760</v>
      </c>
      <c r="G39" s="14">
        <f t="shared" si="7"/>
        <v>1584</v>
      </c>
      <c r="H39" s="15">
        <f t="shared" si="8"/>
        <v>1552.32</v>
      </c>
      <c r="I39" s="14">
        <f t="shared" si="9"/>
        <v>1548.8</v>
      </c>
      <c r="J39" s="15">
        <f t="shared" si="10"/>
        <v>1517.8239999999998</v>
      </c>
    </row>
    <row r="40" spans="1:10" x14ac:dyDescent="0.25">
      <c r="A40" s="12">
        <v>19</v>
      </c>
      <c r="B40" s="12" t="s">
        <v>203</v>
      </c>
      <c r="C40" s="12" t="s">
        <v>271</v>
      </c>
      <c r="D40" s="13" t="s">
        <v>272</v>
      </c>
      <c r="E40" s="13">
        <v>3.5</v>
      </c>
      <c r="F40" s="13">
        <v>1840</v>
      </c>
      <c r="G40" s="19">
        <f>F40*94%</f>
        <v>1729.6</v>
      </c>
      <c r="H40" s="20">
        <f>F40*94%*98%</f>
        <v>1695.0079999999998</v>
      </c>
      <c r="I40" s="14"/>
      <c r="J40" s="15"/>
    </row>
    <row r="41" spans="1:10" x14ac:dyDescent="0.25">
      <c r="A41" s="12">
        <v>20</v>
      </c>
      <c r="B41" s="12" t="s">
        <v>203</v>
      </c>
      <c r="C41" s="12" t="s">
        <v>273</v>
      </c>
      <c r="D41" s="13" t="s">
        <v>272</v>
      </c>
      <c r="E41" s="13">
        <v>4.5</v>
      </c>
      <c r="F41" s="13">
        <v>2050</v>
      </c>
      <c r="G41" s="14">
        <f t="shared" ref="G41:G43" si="11">F41*94%</f>
        <v>1927</v>
      </c>
      <c r="H41" s="15">
        <f t="shared" ref="H41:H43" si="12">F41*94%*98%</f>
        <v>1888.46</v>
      </c>
      <c r="I41" s="14"/>
      <c r="J41" s="15"/>
    </row>
    <row r="42" spans="1:10" x14ac:dyDescent="0.25">
      <c r="A42" s="12">
        <v>21</v>
      </c>
      <c r="B42" s="12" t="s">
        <v>203</v>
      </c>
      <c r="C42" s="12" t="s">
        <v>274</v>
      </c>
      <c r="D42" s="13" t="s">
        <v>272</v>
      </c>
      <c r="E42" s="13">
        <v>5.5</v>
      </c>
      <c r="F42" s="13">
        <v>2365</v>
      </c>
      <c r="G42" s="14">
        <f t="shared" si="11"/>
        <v>2223.1</v>
      </c>
      <c r="H42" s="15">
        <f t="shared" si="12"/>
        <v>2178.6379999999999</v>
      </c>
      <c r="I42" s="14"/>
      <c r="J42" s="15"/>
    </row>
    <row r="43" spans="1:10" x14ac:dyDescent="0.25">
      <c r="A43" s="12">
        <v>22</v>
      </c>
      <c r="B43" s="12" t="s">
        <v>203</v>
      </c>
      <c r="C43" s="12" t="s">
        <v>275</v>
      </c>
      <c r="D43" s="13" t="s">
        <v>272</v>
      </c>
      <c r="E43" s="13">
        <v>6.5</v>
      </c>
      <c r="F43" s="13">
        <v>2575</v>
      </c>
      <c r="G43" s="14">
        <f t="shared" si="11"/>
        <v>2420.5</v>
      </c>
      <c r="H43" s="15">
        <f t="shared" si="12"/>
        <v>2372.09</v>
      </c>
      <c r="I43" s="14"/>
      <c r="J43" s="15"/>
    </row>
    <row r="44" spans="1:10" x14ac:dyDescent="0.25">
      <c r="A44" s="12"/>
      <c r="B44" s="12"/>
      <c r="C44" s="12"/>
      <c r="D44" s="13"/>
      <c r="E44" s="13"/>
      <c r="F44" s="13"/>
      <c r="G44" s="14"/>
      <c r="H44" s="15"/>
      <c r="I44" s="14"/>
      <c r="J44" s="15"/>
    </row>
    <row r="45" spans="1:10" x14ac:dyDescent="0.25">
      <c r="A45" s="12"/>
      <c r="B45" s="12"/>
      <c r="C45" s="12"/>
      <c r="D45" s="13"/>
      <c r="E45" s="13"/>
      <c r="F45" s="13"/>
      <c r="G45" s="14"/>
      <c r="H45" s="15"/>
      <c r="I45" s="14"/>
      <c r="J45" s="15"/>
    </row>
    <row r="46" spans="1:10" x14ac:dyDescent="0.25">
      <c r="A46" s="12"/>
      <c r="B46" s="12"/>
      <c r="C46" s="12"/>
      <c r="D46" s="13"/>
      <c r="E46" s="13"/>
      <c r="F46" s="13"/>
      <c r="G46" s="13"/>
      <c r="H46" s="13"/>
      <c r="I46" s="13"/>
      <c r="J46" s="13"/>
    </row>
    <row r="47" spans="1:10" x14ac:dyDescent="0.25">
      <c r="A47" s="12"/>
      <c r="B47" s="12"/>
      <c r="C47" s="12"/>
      <c r="D47" s="13"/>
      <c r="E47" s="13"/>
      <c r="F47" s="13"/>
      <c r="G47" s="13"/>
      <c r="H47" s="13"/>
      <c r="I47" s="13"/>
      <c r="J47" s="13"/>
    </row>
    <row r="48" spans="1:10" ht="21" x14ac:dyDescent="0.25">
      <c r="A48" s="7" t="s">
        <v>0</v>
      </c>
      <c r="B48" s="7" t="s">
        <v>204</v>
      </c>
      <c r="C48" s="7" t="s">
        <v>34</v>
      </c>
      <c r="D48" s="7" t="s">
        <v>2</v>
      </c>
      <c r="E48" s="7" t="s">
        <v>8</v>
      </c>
      <c r="F48" s="7" t="s">
        <v>1</v>
      </c>
      <c r="G48" s="7" t="s">
        <v>6</v>
      </c>
      <c r="H48" s="7" t="s">
        <v>3</v>
      </c>
      <c r="I48" s="7" t="s">
        <v>5</v>
      </c>
      <c r="J48" s="7" t="s">
        <v>4</v>
      </c>
    </row>
    <row r="49" spans="1:10" x14ac:dyDescent="0.25">
      <c r="A49" s="12">
        <v>1</v>
      </c>
      <c r="B49" s="12" t="s">
        <v>205</v>
      </c>
      <c r="C49" s="12" t="s">
        <v>58</v>
      </c>
      <c r="D49" s="13" t="s">
        <v>59</v>
      </c>
      <c r="E49" s="13">
        <v>18</v>
      </c>
      <c r="F49" s="13">
        <v>975</v>
      </c>
      <c r="G49" s="14">
        <f>F49*90%</f>
        <v>877.5</v>
      </c>
      <c r="H49" s="15">
        <f>F49*90%*98%</f>
        <v>859.94999999999993</v>
      </c>
      <c r="I49" s="14">
        <f>F49*88%</f>
        <v>858</v>
      </c>
      <c r="J49" s="15">
        <f>F49*88%*98%</f>
        <v>840.84</v>
      </c>
    </row>
    <row r="50" spans="1:10" x14ac:dyDescent="0.25">
      <c r="A50" s="12">
        <v>2</v>
      </c>
      <c r="B50" s="12" t="s">
        <v>205</v>
      </c>
      <c r="C50" s="12" t="s">
        <v>60</v>
      </c>
      <c r="D50" s="13" t="s">
        <v>59</v>
      </c>
      <c r="E50" s="13">
        <v>20</v>
      </c>
      <c r="F50" s="13">
        <v>1105</v>
      </c>
      <c r="G50" s="14">
        <f t="shared" ref="G50:G60" si="13">F50*90%</f>
        <v>994.5</v>
      </c>
      <c r="H50" s="15">
        <f t="shared" ref="H50:H60" si="14">F50*90%*98%</f>
        <v>974.61</v>
      </c>
      <c r="I50" s="14">
        <f t="shared" ref="I50:I60" si="15">F50*88%</f>
        <v>972.4</v>
      </c>
      <c r="J50" s="15">
        <f t="shared" ref="J50:J60" si="16">F50*88%*98%</f>
        <v>952.952</v>
      </c>
    </row>
    <row r="51" spans="1:10" x14ac:dyDescent="0.25">
      <c r="A51" s="12">
        <v>3</v>
      </c>
      <c r="B51" s="12" t="s">
        <v>205</v>
      </c>
      <c r="C51" s="12" t="s">
        <v>61</v>
      </c>
      <c r="D51" s="13" t="s">
        <v>59</v>
      </c>
      <c r="E51" s="13">
        <v>22</v>
      </c>
      <c r="F51" s="13">
        <v>1240</v>
      </c>
      <c r="G51" s="14">
        <f t="shared" si="13"/>
        <v>1116</v>
      </c>
      <c r="H51" s="15">
        <f t="shared" si="14"/>
        <v>1093.68</v>
      </c>
      <c r="I51" s="14">
        <f t="shared" si="15"/>
        <v>1091.2</v>
      </c>
      <c r="J51" s="15">
        <f t="shared" si="16"/>
        <v>1069.376</v>
      </c>
    </row>
    <row r="52" spans="1:10" x14ac:dyDescent="0.25">
      <c r="A52" s="12">
        <v>4</v>
      </c>
      <c r="B52" s="12" t="s">
        <v>205</v>
      </c>
      <c r="C52" s="12" t="s">
        <v>62</v>
      </c>
      <c r="D52" s="13" t="s">
        <v>59</v>
      </c>
      <c r="E52" s="13">
        <v>24</v>
      </c>
      <c r="F52" s="13">
        <v>1435</v>
      </c>
      <c r="G52" s="14">
        <f t="shared" si="13"/>
        <v>1291.5</v>
      </c>
      <c r="H52" s="15">
        <f t="shared" si="14"/>
        <v>1265.67</v>
      </c>
      <c r="I52" s="14">
        <f t="shared" si="15"/>
        <v>1262.8</v>
      </c>
      <c r="J52" s="15">
        <f t="shared" si="16"/>
        <v>1237.5439999999999</v>
      </c>
    </row>
    <row r="53" spans="1:10" x14ac:dyDescent="0.25">
      <c r="A53" s="12">
        <v>5</v>
      </c>
      <c r="B53" s="12" t="s">
        <v>205</v>
      </c>
      <c r="C53" s="12" t="s">
        <v>63</v>
      </c>
      <c r="D53" s="13" t="s">
        <v>59</v>
      </c>
      <c r="E53" s="13">
        <v>26</v>
      </c>
      <c r="F53" s="13">
        <v>1570</v>
      </c>
      <c r="G53" s="14">
        <f t="shared" si="13"/>
        <v>1413</v>
      </c>
      <c r="H53" s="15">
        <f t="shared" si="14"/>
        <v>1384.74</v>
      </c>
      <c r="I53" s="14">
        <f t="shared" si="15"/>
        <v>1381.6</v>
      </c>
      <c r="J53" s="15">
        <f t="shared" si="16"/>
        <v>1353.9679999999998</v>
      </c>
    </row>
    <row r="54" spans="1:10" x14ac:dyDescent="0.25">
      <c r="A54" s="12">
        <v>6</v>
      </c>
      <c r="B54" s="12" t="s">
        <v>205</v>
      </c>
      <c r="C54" s="12" t="s">
        <v>64</v>
      </c>
      <c r="D54" s="13" t="s">
        <v>59</v>
      </c>
      <c r="E54" s="13">
        <v>28</v>
      </c>
      <c r="F54" s="13">
        <v>1820</v>
      </c>
      <c r="G54" s="14">
        <f t="shared" si="13"/>
        <v>1638</v>
      </c>
      <c r="H54" s="15">
        <f t="shared" si="14"/>
        <v>1605.24</v>
      </c>
      <c r="I54" s="14">
        <f t="shared" si="15"/>
        <v>1601.6</v>
      </c>
      <c r="J54" s="15">
        <f t="shared" si="16"/>
        <v>1569.568</v>
      </c>
    </row>
    <row r="55" spans="1:10" x14ac:dyDescent="0.25">
      <c r="A55" s="12">
        <v>7</v>
      </c>
      <c r="B55" s="12" t="s">
        <v>205</v>
      </c>
      <c r="C55" s="12" t="s">
        <v>65</v>
      </c>
      <c r="D55" s="13" t="s">
        <v>71</v>
      </c>
      <c r="E55" s="13">
        <v>18</v>
      </c>
      <c r="F55" s="13">
        <v>1050</v>
      </c>
      <c r="G55" s="14">
        <f t="shared" si="13"/>
        <v>945</v>
      </c>
      <c r="H55" s="15">
        <f t="shared" si="14"/>
        <v>926.1</v>
      </c>
      <c r="I55" s="14">
        <f t="shared" si="15"/>
        <v>924</v>
      </c>
      <c r="J55" s="15">
        <f t="shared" si="16"/>
        <v>905.52</v>
      </c>
    </row>
    <row r="56" spans="1:10" x14ac:dyDescent="0.25">
      <c r="A56" s="12">
        <v>8</v>
      </c>
      <c r="B56" s="12" t="s">
        <v>205</v>
      </c>
      <c r="C56" s="12" t="s">
        <v>66</v>
      </c>
      <c r="D56" s="13" t="s">
        <v>71</v>
      </c>
      <c r="E56" s="13">
        <v>20</v>
      </c>
      <c r="F56" s="13">
        <v>1190</v>
      </c>
      <c r="G56" s="14">
        <f t="shared" si="13"/>
        <v>1071</v>
      </c>
      <c r="H56" s="15">
        <f t="shared" si="14"/>
        <v>1049.58</v>
      </c>
      <c r="I56" s="14">
        <f t="shared" si="15"/>
        <v>1047.2</v>
      </c>
      <c r="J56" s="15">
        <f t="shared" si="16"/>
        <v>1026.2560000000001</v>
      </c>
    </row>
    <row r="57" spans="1:10" x14ac:dyDescent="0.25">
      <c r="A57" s="12">
        <v>9</v>
      </c>
      <c r="B57" s="12" t="s">
        <v>205</v>
      </c>
      <c r="C57" s="12" t="s">
        <v>67</v>
      </c>
      <c r="D57" s="13" t="s">
        <v>71</v>
      </c>
      <c r="E57" s="13">
        <v>22</v>
      </c>
      <c r="F57" s="13">
        <v>1320</v>
      </c>
      <c r="G57" s="14">
        <f t="shared" si="13"/>
        <v>1188</v>
      </c>
      <c r="H57" s="15">
        <f t="shared" si="14"/>
        <v>1164.24</v>
      </c>
      <c r="I57" s="14">
        <f t="shared" si="15"/>
        <v>1161.5999999999999</v>
      </c>
      <c r="J57" s="15">
        <f t="shared" si="16"/>
        <v>1138.3679999999999</v>
      </c>
    </row>
    <row r="58" spans="1:10" x14ac:dyDescent="0.25">
      <c r="A58" s="12">
        <v>10</v>
      </c>
      <c r="B58" s="12" t="s">
        <v>205</v>
      </c>
      <c r="C58" s="12" t="s">
        <v>68</v>
      </c>
      <c r="D58" s="13" t="s">
        <v>71</v>
      </c>
      <c r="E58" s="13">
        <v>24</v>
      </c>
      <c r="F58" s="13">
        <v>1510</v>
      </c>
      <c r="G58" s="14">
        <f t="shared" si="13"/>
        <v>1359</v>
      </c>
      <c r="H58" s="15">
        <f t="shared" si="14"/>
        <v>1331.82</v>
      </c>
      <c r="I58" s="14">
        <f t="shared" si="15"/>
        <v>1328.8</v>
      </c>
      <c r="J58" s="15">
        <f t="shared" si="16"/>
        <v>1302.2239999999999</v>
      </c>
    </row>
    <row r="59" spans="1:10" x14ac:dyDescent="0.25">
      <c r="A59" s="12">
        <v>11</v>
      </c>
      <c r="B59" s="12" t="s">
        <v>205</v>
      </c>
      <c r="C59" s="12" t="s">
        <v>69</v>
      </c>
      <c r="D59" s="13" t="s">
        <v>71</v>
      </c>
      <c r="E59" s="13">
        <v>26</v>
      </c>
      <c r="F59" s="13">
        <v>1640</v>
      </c>
      <c r="G59" s="14">
        <f t="shared" si="13"/>
        <v>1476</v>
      </c>
      <c r="H59" s="15">
        <f t="shared" si="14"/>
        <v>1446.48</v>
      </c>
      <c r="I59" s="14">
        <f t="shared" si="15"/>
        <v>1443.2</v>
      </c>
      <c r="J59" s="15">
        <f t="shared" si="16"/>
        <v>1414.336</v>
      </c>
    </row>
    <row r="60" spans="1:10" x14ac:dyDescent="0.25">
      <c r="A60" s="12">
        <v>12</v>
      </c>
      <c r="B60" s="12" t="s">
        <v>205</v>
      </c>
      <c r="C60" s="12" t="s">
        <v>70</v>
      </c>
      <c r="D60" s="13" t="s">
        <v>71</v>
      </c>
      <c r="E60" s="13">
        <v>28</v>
      </c>
      <c r="F60" s="13">
        <v>1900</v>
      </c>
      <c r="G60" s="14">
        <f t="shared" si="13"/>
        <v>1710</v>
      </c>
      <c r="H60" s="15">
        <f t="shared" si="14"/>
        <v>1675.8</v>
      </c>
      <c r="I60" s="14">
        <f t="shared" si="15"/>
        <v>1672</v>
      </c>
      <c r="J60" s="15">
        <f t="shared" si="16"/>
        <v>1638.56</v>
      </c>
    </row>
    <row r="61" spans="1:10" x14ac:dyDescent="0.25">
      <c r="A61" s="12"/>
      <c r="B61" s="12"/>
      <c r="C61" s="12"/>
      <c r="D61" s="13"/>
      <c r="E61" s="13"/>
      <c r="F61" s="13"/>
      <c r="G61" s="13"/>
      <c r="H61" s="13"/>
      <c r="I61" s="13"/>
      <c r="J61" s="13"/>
    </row>
    <row r="62" spans="1:10" x14ac:dyDescent="0.25">
      <c r="A62" s="12"/>
      <c r="B62" s="12"/>
      <c r="C62" s="12"/>
      <c r="D62" s="13"/>
      <c r="E62" s="13"/>
      <c r="F62" s="13"/>
      <c r="G62" s="13"/>
      <c r="H62" s="13"/>
      <c r="I62" s="13"/>
      <c r="J62" s="13"/>
    </row>
    <row r="63" spans="1:10" ht="21" x14ac:dyDescent="0.25">
      <c r="A63" s="7" t="s">
        <v>0</v>
      </c>
      <c r="B63" s="7" t="s">
        <v>204</v>
      </c>
      <c r="C63" s="7" t="s">
        <v>34</v>
      </c>
      <c r="D63" s="7" t="s">
        <v>72</v>
      </c>
      <c r="E63" s="7" t="s">
        <v>8</v>
      </c>
      <c r="F63" s="7" t="s">
        <v>1</v>
      </c>
      <c r="G63" s="7" t="s">
        <v>6</v>
      </c>
      <c r="H63" s="7" t="s">
        <v>3</v>
      </c>
      <c r="I63" s="7" t="s">
        <v>5</v>
      </c>
      <c r="J63" s="7" t="s">
        <v>4</v>
      </c>
    </row>
    <row r="64" spans="1:10" x14ac:dyDescent="0.25">
      <c r="A64" s="12">
        <v>1</v>
      </c>
      <c r="B64" s="12" t="s">
        <v>206</v>
      </c>
      <c r="C64" s="12" t="s">
        <v>73</v>
      </c>
      <c r="D64" s="13" t="s">
        <v>72</v>
      </c>
      <c r="E64" s="13">
        <v>22</v>
      </c>
      <c r="F64" s="13">
        <v>1145</v>
      </c>
      <c r="G64" s="14">
        <f>F64*90%</f>
        <v>1030.5</v>
      </c>
      <c r="H64" s="15">
        <f>F64*90%*98%</f>
        <v>1009.89</v>
      </c>
      <c r="I64" s="14">
        <f>F64*88%</f>
        <v>1007.6</v>
      </c>
      <c r="J64" s="15">
        <f>F64*88%*98%</f>
        <v>987.44799999999998</v>
      </c>
    </row>
    <row r="65" spans="1:10" x14ac:dyDescent="0.25">
      <c r="A65" s="12">
        <v>2</v>
      </c>
      <c r="B65" s="12" t="s">
        <v>206</v>
      </c>
      <c r="C65" s="12" t="s">
        <v>74</v>
      </c>
      <c r="D65" s="13" t="s">
        <v>72</v>
      </c>
      <c r="E65" s="13">
        <v>24</v>
      </c>
      <c r="F65" s="13">
        <v>1315</v>
      </c>
      <c r="G65" s="14">
        <f t="shared" ref="G65:G69" si="17">F65*90%</f>
        <v>1183.5</v>
      </c>
      <c r="H65" s="15">
        <f t="shared" ref="H65:H69" si="18">F65*90%*98%</f>
        <v>1159.83</v>
      </c>
      <c r="I65" s="14">
        <f t="shared" ref="I65:I69" si="19">F65*88%</f>
        <v>1157.2</v>
      </c>
      <c r="J65" s="15">
        <f t="shared" ref="J65:J69" si="20">F65*88%*98%</f>
        <v>1134.056</v>
      </c>
    </row>
    <row r="66" spans="1:10" x14ac:dyDescent="0.25">
      <c r="A66" s="12">
        <v>3</v>
      </c>
      <c r="B66" s="12" t="s">
        <v>206</v>
      </c>
      <c r="C66" s="12" t="s">
        <v>75</v>
      </c>
      <c r="D66" s="13" t="s">
        <v>72</v>
      </c>
      <c r="E66" s="13">
        <v>26</v>
      </c>
      <c r="F66" s="13">
        <v>1405</v>
      </c>
      <c r="G66" s="14">
        <f t="shared" si="17"/>
        <v>1264.5</v>
      </c>
      <c r="H66" s="15">
        <f t="shared" si="18"/>
        <v>1239.21</v>
      </c>
      <c r="I66" s="14">
        <f t="shared" si="19"/>
        <v>1236.4000000000001</v>
      </c>
      <c r="J66" s="15">
        <f t="shared" si="20"/>
        <v>1211.672</v>
      </c>
    </row>
    <row r="67" spans="1:10" x14ac:dyDescent="0.25">
      <c r="A67" s="12">
        <v>4</v>
      </c>
      <c r="B67" s="12" t="s">
        <v>206</v>
      </c>
      <c r="C67" s="12" t="s">
        <v>76</v>
      </c>
      <c r="D67" s="13" t="s">
        <v>79</v>
      </c>
      <c r="E67" s="13">
        <v>22</v>
      </c>
      <c r="F67" s="13">
        <v>1220</v>
      </c>
      <c r="G67" s="14">
        <f t="shared" si="17"/>
        <v>1098</v>
      </c>
      <c r="H67" s="15">
        <f t="shared" si="18"/>
        <v>1076.04</v>
      </c>
      <c r="I67" s="14">
        <f t="shared" si="19"/>
        <v>1073.5999999999999</v>
      </c>
      <c r="J67" s="15">
        <f t="shared" si="20"/>
        <v>1052.1279999999999</v>
      </c>
    </row>
    <row r="68" spans="1:10" x14ac:dyDescent="0.25">
      <c r="A68" s="12">
        <v>5</v>
      </c>
      <c r="B68" s="12" t="s">
        <v>206</v>
      </c>
      <c r="C68" s="12" t="s">
        <v>77</v>
      </c>
      <c r="D68" s="13" t="s">
        <v>79</v>
      </c>
      <c r="E68" s="13">
        <v>24</v>
      </c>
      <c r="F68" s="13">
        <v>1405</v>
      </c>
      <c r="G68" s="14">
        <f t="shared" si="17"/>
        <v>1264.5</v>
      </c>
      <c r="H68" s="15">
        <f t="shared" si="18"/>
        <v>1239.21</v>
      </c>
      <c r="I68" s="14">
        <f t="shared" si="19"/>
        <v>1236.4000000000001</v>
      </c>
      <c r="J68" s="15">
        <f t="shared" si="20"/>
        <v>1211.672</v>
      </c>
    </row>
    <row r="69" spans="1:10" x14ac:dyDescent="0.25">
      <c r="A69" s="12">
        <v>6</v>
      </c>
      <c r="B69" s="12" t="s">
        <v>206</v>
      </c>
      <c r="C69" s="12" t="s">
        <v>78</v>
      </c>
      <c r="D69" s="13" t="s">
        <v>79</v>
      </c>
      <c r="E69" s="13">
        <v>26</v>
      </c>
      <c r="F69" s="13">
        <v>1505</v>
      </c>
      <c r="G69" s="14">
        <f t="shared" si="17"/>
        <v>1354.5</v>
      </c>
      <c r="H69" s="15">
        <f t="shared" si="18"/>
        <v>1327.41</v>
      </c>
      <c r="I69" s="14">
        <f t="shared" si="19"/>
        <v>1324.4</v>
      </c>
      <c r="J69" s="15">
        <f t="shared" si="20"/>
        <v>1297.912</v>
      </c>
    </row>
    <row r="70" spans="1:10" x14ac:dyDescent="0.25">
      <c r="A70" s="12"/>
      <c r="B70" s="12"/>
      <c r="C70" s="12"/>
      <c r="D70" s="13"/>
      <c r="E70" s="13"/>
      <c r="F70" s="13"/>
      <c r="G70" s="13"/>
      <c r="H70" s="13"/>
      <c r="I70" s="13"/>
      <c r="J70" s="13"/>
    </row>
    <row r="71" spans="1:10" x14ac:dyDescent="0.25">
      <c r="A71" s="12"/>
      <c r="B71" s="12"/>
      <c r="C71" s="12"/>
      <c r="D71" s="13"/>
      <c r="E71" s="13"/>
      <c r="F71" s="13"/>
      <c r="G71" s="13"/>
      <c r="H71" s="13"/>
      <c r="I71" s="13"/>
      <c r="J71" s="13"/>
    </row>
    <row r="72" spans="1:10" ht="21" x14ac:dyDescent="0.25">
      <c r="A72" s="7" t="s">
        <v>0</v>
      </c>
      <c r="B72" s="7" t="s">
        <v>204</v>
      </c>
      <c r="C72" s="7" t="s">
        <v>34</v>
      </c>
      <c r="D72" s="7" t="s">
        <v>80</v>
      </c>
      <c r="E72" s="7" t="s">
        <v>8</v>
      </c>
      <c r="F72" s="7" t="s">
        <v>1</v>
      </c>
      <c r="G72" s="7" t="s">
        <v>6</v>
      </c>
      <c r="H72" s="7" t="s">
        <v>3</v>
      </c>
      <c r="I72" s="7" t="s">
        <v>5</v>
      </c>
      <c r="J72" s="7" t="s">
        <v>4</v>
      </c>
    </row>
    <row r="73" spans="1:10" x14ac:dyDescent="0.25">
      <c r="A73" s="12">
        <v>1</v>
      </c>
      <c r="B73" s="12" t="s">
        <v>206</v>
      </c>
      <c r="C73" s="12" t="s">
        <v>81</v>
      </c>
      <c r="D73" s="13" t="s">
        <v>80</v>
      </c>
      <c r="E73" s="13">
        <v>20</v>
      </c>
      <c r="F73" s="13">
        <v>855</v>
      </c>
      <c r="G73" s="14">
        <f>F73*90%</f>
        <v>769.5</v>
      </c>
      <c r="H73" s="15">
        <f>F73*90%*98%</f>
        <v>754.11</v>
      </c>
      <c r="I73" s="14">
        <f>F73*88%</f>
        <v>752.4</v>
      </c>
      <c r="J73" s="15">
        <f>F73*88%*98%</f>
        <v>737.35199999999998</v>
      </c>
    </row>
    <row r="74" spans="1:10" x14ac:dyDescent="0.25">
      <c r="A74" s="12">
        <v>2</v>
      </c>
      <c r="B74" s="12" t="s">
        <v>206</v>
      </c>
      <c r="C74" s="12" t="s">
        <v>82</v>
      </c>
      <c r="D74" s="13" t="s">
        <v>80</v>
      </c>
      <c r="E74" s="13">
        <v>22</v>
      </c>
      <c r="F74" s="13">
        <v>980</v>
      </c>
      <c r="G74" s="14">
        <f t="shared" ref="G74:G92" si="21">F74*90%</f>
        <v>882</v>
      </c>
      <c r="H74" s="15">
        <f t="shared" ref="H74:H82" si="22">F74*90%*98%</f>
        <v>864.36</v>
      </c>
      <c r="I74" s="14">
        <f t="shared" ref="I74:I82" si="23">F74*88%</f>
        <v>862.4</v>
      </c>
      <c r="J74" s="15">
        <f t="shared" ref="J74:J82" si="24">F74*88%*98%</f>
        <v>845.15199999999993</v>
      </c>
    </row>
    <row r="75" spans="1:10" x14ac:dyDescent="0.25">
      <c r="A75" s="12">
        <v>3</v>
      </c>
      <c r="B75" s="12" t="s">
        <v>206</v>
      </c>
      <c r="C75" s="12" t="s">
        <v>83</v>
      </c>
      <c r="D75" s="13" t="s">
        <v>80</v>
      </c>
      <c r="E75" s="13">
        <v>24</v>
      </c>
      <c r="F75" s="13">
        <v>1080</v>
      </c>
      <c r="G75" s="14">
        <f t="shared" si="21"/>
        <v>972</v>
      </c>
      <c r="H75" s="15">
        <f t="shared" si="22"/>
        <v>952.56</v>
      </c>
      <c r="I75" s="14">
        <f t="shared" si="23"/>
        <v>950.4</v>
      </c>
      <c r="J75" s="15">
        <f t="shared" si="24"/>
        <v>931.39199999999994</v>
      </c>
    </row>
    <row r="76" spans="1:10" x14ac:dyDescent="0.25">
      <c r="A76" s="12">
        <v>4</v>
      </c>
      <c r="B76" s="12" t="s">
        <v>206</v>
      </c>
      <c r="C76" s="12" t="s">
        <v>84</v>
      </c>
      <c r="D76" s="13" t="s">
        <v>80</v>
      </c>
      <c r="E76" s="13">
        <v>26</v>
      </c>
      <c r="F76" s="13">
        <v>1155</v>
      </c>
      <c r="G76" s="14">
        <f t="shared" si="21"/>
        <v>1039.5</v>
      </c>
      <c r="H76" s="15">
        <f t="shared" si="22"/>
        <v>1018.71</v>
      </c>
      <c r="I76" s="14">
        <f t="shared" si="23"/>
        <v>1016.4</v>
      </c>
      <c r="J76" s="15">
        <f t="shared" si="24"/>
        <v>996.072</v>
      </c>
    </row>
    <row r="77" spans="1:10" x14ac:dyDescent="0.25">
      <c r="A77" s="12">
        <v>5</v>
      </c>
      <c r="B77" s="12" t="s">
        <v>206</v>
      </c>
      <c r="C77" s="12" t="s">
        <v>85</v>
      </c>
      <c r="D77" s="13" t="s">
        <v>80</v>
      </c>
      <c r="E77" s="13">
        <v>28</v>
      </c>
      <c r="F77" s="13">
        <v>1285</v>
      </c>
      <c r="G77" s="14">
        <f t="shared" si="21"/>
        <v>1156.5</v>
      </c>
      <c r="H77" s="15">
        <f t="shared" si="22"/>
        <v>1133.3699999999999</v>
      </c>
      <c r="I77" s="14">
        <f t="shared" si="23"/>
        <v>1130.8</v>
      </c>
      <c r="J77" s="15">
        <f t="shared" si="24"/>
        <v>1108.184</v>
      </c>
    </row>
    <row r="78" spans="1:10" x14ac:dyDescent="0.25">
      <c r="A78" s="12">
        <v>6</v>
      </c>
      <c r="B78" s="12" t="s">
        <v>206</v>
      </c>
      <c r="C78" s="12" t="s">
        <v>86</v>
      </c>
      <c r="D78" s="13" t="s">
        <v>92</v>
      </c>
      <c r="E78" s="13">
        <v>20</v>
      </c>
      <c r="F78" s="13">
        <v>920</v>
      </c>
      <c r="G78" s="14">
        <f t="shared" si="21"/>
        <v>828</v>
      </c>
      <c r="H78" s="15">
        <f t="shared" si="22"/>
        <v>811.43999999999994</v>
      </c>
      <c r="I78" s="14">
        <f t="shared" si="23"/>
        <v>809.6</v>
      </c>
      <c r="J78" s="15">
        <f t="shared" si="24"/>
        <v>793.40800000000002</v>
      </c>
    </row>
    <row r="79" spans="1:10" x14ac:dyDescent="0.25">
      <c r="A79" s="12">
        <v>7</v>
      </c>
      <c r="B79" s="12" t="s">
        <v>206</v>
      </c>
      <c r="C79" s="12" t="s">
        <v>87</v>
      </c>
      <c r="D79" s="13" t="s">
        <v>92</v>
      </c>
      <c r="E79" s="13">
        <v>22</v>
      </c>
      <c r="F79" s="13">
        <v>1040</v>
      </c>
      <c r="G79" s="14">
        <f t="shared" si="21"/>
        <v>936</v>
      </c>
      <c r="H79" s="15">
        <f t="shared" si="22"/>
        <v>917.28</v>
      </c>
      <c r="I79" s="14">
        <f t="shared" si="23"/>
        <v>915.2</v>
      </c>
      <c r="J79" s="15">
        <f t="shared" si="24"/>
        <v>896.89600000000007</v>
      </c>
    </row>
    <row r="80" spans="1:10" x14ac:dyDescent="0.25">
      <c r="A80" s="12">
        <v>8</v>
      </c>
      <c r="B80" s="12" t="s">
        <v>206</v>
      </c>
      <c r="C80" s="12" t="s">
        <v>88</v>
      </c>
      <c r="D80" s="13" t="s">
        <v>92</v>
      </c>
      <c r="E80" s="13">
        <v>24</v>
      </c>
      <c r="F80" s="13">
        <v>1155</v>
      </c>
      <c r="G80" s="14">
        <f t="shared" si="21"/>
        <v>1039.5</v>
      </c>
      <c r="H80" s="15">
        <f t="shared" si="22"/>
        <v>1018.71</v>
      </c>
      <c r="I80" s="14">
        <f t="shared" si="23"/>
        <v>1016.4</v>
      </c>
      <c r="J80" s="15">
        <f t="shared" si="24"/>
        <v>996.072</v>
      </c>
    </row>
    <row r="81" spans="1:10" x14ac:dyDescent="0.25">
      <c r="A81" s="12">
        <v>9</v>
      </c>
      <c r="B81" s="12" t="s">
        <v>206</v>
      </c>
      <c r="C81" s="12" t="s">
        <v>89</v>
      </c>
      <c r="D81" s="13" t="s">
        <v>92</v>
      </c>
      <c r="E81" s="13">
        <v>26</v>
      </c>
      <c r="F81" s="13">
        <v>1240</v>
      </c>
      <c r="G81" s="14">
        <f t="shared" si="21"/>
        <v>1116</v>
      </c>
      <c r="H81" s="15">
        <f t="shared" si="22"/>
        <v>1093.68</v>
      </c>
      <c r="I81" s="14">
        <f t="shared" si="23"/>
        <v>1091.2</v>
      </c>
      <c r="J81" s="15">
        <f t="shared" si="24"/>
        <v>1069.376</v>
      </c>
    </row>
    <row r="82" spans="1:10" x14ac:dyDescent="0.25">
      <c r="A82" s="12">
        <v>10</v>
      </c>
      <c r="B82" s="12" t="s">
        <v>206</v>
      </c>
      <c r="C82" s="12" t="s">
        <v>90</v>
      </c>
      <c r="D82" s="13" t="s">
        <v>92</v>
      </c>
      <c r="E82" s="13">
        <v>28</v>
      </c>
      <c r="F82" s="13">
        <v>1375</v>
      </c>
      <c r="G82" s="14">
        <f t="shared" si="21"/>
        <v>1237.5</v>
      </c>
      <c r="H82" s="15">
        <f t="shared" si="22"/>
        <v>1212.75</v>
      </c>
      <c r="I82" s="14">
        <f t="shared" si="23"/>
        <v>1210</v>
      </c>
      <c r="J82" s="15">
        <f t="shared" si="24"/>
        <v>1185.8</v>
      </c>
    </row>
    <row r="83" spans="1:10" x14ac:dyDescent="0.25">
      <c r="A83" s="12">
        <v>1</v>
      </c>
      <c r="B83" s="12" t="s">
        <v>206</v>
      </c>
      <c r="C83" s="12" t="s">
        <v>91</v>
      </c>
      <c r="D83" s="13" t="s">
        <v>93</v>
      </c>
      <c r="E83" s="13">
        <v>20</v>
      </c>
      <c r="F83" s="13">
        <v>665</v>
      </c>
      <c r="G83" s="14">
        <f t="shared" si="21"/>
        <v>598.5</v>
      </c>
      <c r="H83" s="15">
        <f t="shared" ref="H83" si="25">F83*90%*98%</f>
        <v>586.53</v>
      </c>
      <c r="I83" s="14">
        <f t="shared" ref="I83" si="26">F83*88%</f>
        <v>585.20000000000005</v>
      </c>
      <c r="J83" s="15">
        <f t="shared" ref="J83" si="27">F83*88%*98%</f>
        <v>573.49599999999998</v>
      </c>
    </row>
    <row r="84" spans="1:10" x14ac:dyDescent="0.25">
      <c r="A84" s="12">
        <v>2</v>
      </c>
      <c r="B84" s="12" t="s">
        <v>206</v>
      </c>
      <c r="C84" s="12" t="s">
        <v>94</v>
      </c>
      <c r="D84" s="13" t="s">
        <v>93</v>
      </c>
      <c r="E84" s="13">
        <v>22</v>
      </c>
      <c r="F84" s="13">
        <v>785</v>
      </c>
      <c r="G84" s="14">
        <f t="shared" si="21"/>
        <v>706.5</v>
      </c>
      <c r="H84" s="15">
        <f t="shared" ref="H84:H92" si="28">F84*90%*98%</f>
        <v>692.37</v>
      </c>
      <c r="I84" s="14">
        <f t="shared" ref="I84:I92" si="29">F84*88%</f>
        <v>690.8</v>
      </c>
      <c r="J84" s="15">
        <f t="shared" ref="J84:J92" si="30">F84*88%*98%</f>
        <v>676.98399999999992</v>
      </c>
    </row>
    <row r="85" spans="1:10" x14ac:dyDescent="0.25">
      <c r="A85" s="12">
        <v>3</v>
      </c>
      <c r="B85" s="12" t="s">
        <v>206</v>
      </c>
      <c r="C85" s="12" t="s">
        <v>95</v>
      </c>
      <c r="D85" s="13" t="s">
        <v>93</v>
      </c>
      <c r="E85" s="13">
        <v>24</v>
      </c>
      <c r="F85" s="13">
        <v>920</v>
      </c>
      <c r="G85" s="14">
        <f t="shared" si="21"/>
        <v>828</v>
      </c>
      <c r="H85" s="15">
        <f t="shared" si="28"/>
        <v>811.43999999999994</v>
      </c>
      <c r="I85" s="14">
        <f t="shared" si="29"/>
        <v>809.6</v>
      </c>
      <c r="J85" s="15">
        <f t="shared" si="30"/>
        <v>793.40800000000002</v>
      </c>
    </row>
    <row r="86" spans="1:10" x14ac:dyDescent="0.25">
      <c r="A86" s="12">
        <v>4</v>
      </c>
      <c r="B86" s="12" t="s">
        <v>206</v>
      </c>
      <c r="C86" s="12" t="s">
        <v>96</v>
      </c>
      <c r="D86" s="13" t="s">
        <v>93</v>
      </c>
      <c r="E86" s="13">
        <v>26</v>
      </c>
      <c r="F86" s="13">
        <v>985</v>
      </c>
      <c r="G86" s="14">
        <f t="shared" si="21"/>
        <v>886.5</v>
      </c>
      <c r="H86" s="15">
        <f t="shared" si="28"/>
        <v>868.77</v>
      </c>
      <c r="I86" s="14">
        <f t="shared" si="29"/>
        <v>866.8</v>
      </c>
      <c r="J86" s="15">
        <f t="shared" si="30"/>
        <v>849.46399999999994</v>
      </c>
    </row>
    <row r="87" spans="1:10" x14ac:dyDescent="0.25">
      <c r="A87" s="12">
        <v>5</v>
      </c>
      <c r="B87" s="12" t="s">
        <v>206</v>
      </c>
      <c r="C87" s="12" t="s">
        <v>97</v>
      </c>
      <c r="D87" s="13" t="s">
        <v>93</v>
      </c>
      <c r="E87" s="13">
        <v>28</v>
      </c>
      <c r="F87" s="13">
        <v>1070</v>
      </c>
      <c r="G87" s="14">
        <f t="shared" si="21"/>
        <v>963</v>
      </c>
      <c r="H87" s="15">
        <f t="shared" si="28"/>
        <v>943.74</v>
      </c>
      <c r="I87" s="14">
        <f t="shared" si="29"/>
        <v>941.6</v>
      </c>
      <c r="J87" s="15">
        <f t="shared" si="30"/>
        <v>922.76800000000003</v>
      </c>
    </row>
    <row r="88" spans="1:10" x14ac:dyDescent="0.25">
      <c r="A88" s="12">
        <v>6</v>
      </c>
      <c r="B88" s="12" t="s">
        <v>206</v>
      </c>
      <c r="C88" s="12" t="s">
        <v>98</v>
      </c>
      <c r="D88" s="13" t="s">
        <v>103</v>
      </c>
      <c r="E88" s="13">
        <v>20</v>
      </c>
      <c r="F88" s="13">
        <v>735</v>
      </c>
      <c r="G88" s="14">
        <f t="shared" si="21"/>
        <v>661.5</v>
      </c>
      <c r="H88" s="15">
        <f t="shared" si="28"/>
        <v>648.27</v>
      </c>
      <c r="I88" s="14">
        <f t="shared" si="29"/>
        <v>646.79999999999995</v>
      </c>
      <c r="J88" s="15">
        <f t="shared" si="30"/>
        <v>633.86399999999992</v>
      </c>
    </row>
    <row r="89" spans="1:10" x14ac:dyDescent="0.25">
      <c r="A89" s="12">
        <v>7</v>
      </c>
      <c r="B89" s="12" t="s">
        <v>206</v>
      </c>
      <c r="C89" s="12" t="s">
        <v>99</v>
      </c>
      <c r="D89" s="13" t="s">
        <v>103</v>
      </c>
      <c r="E89" s="13">
        <v>22</v>
      </c>
      <c r="F89" s="13">
        <v>855</v>
      </c>
      <c r="G89" s="14">
        <f t="shared" si="21"/>
        <v>769.5</v>
      </c>
      <c r="H89" s="15">
        <f t="shared" si="28"/>
        <v>754.11</v>
      </c>
      <c r="I89" s="14">
        <f t="shared" si="29"/>
        <v>752.4</v>
      </c>
      <c r="J89" s="15">
        <f t="shared" si="30"/>
        <v>737.35199999999998</v>
      </c>
    </row>
    <row r="90" spans="1:10" x14ac:dyDescent="0.25">
      <c r="A90" s="12">
        <v>8</v>
      </c>
      <c r="B90" s="12" t="s">
        <v>206</v>
      </c>
      <c r="C90" s="12" t="s">
        <v>100</v>
      </c>
      <c r="D90" s="13" t="s">
        <v>103</v>
      </c>
      <c r="E90" s="13">
        <v>24</v>
      </c>
      <c r="F90" s="13">
        <v>985</v>
      </c>
      <c r="G90" s="14">
        <f t="shared" si="21"/>
        <v>886.5</v>
      </c>
      <c r="H90" s="15">
        <f t="shared" si="28"/>
        <v>868.77</v>
      </c>
      <c r="I90" s="14">
        <f t="shared" si="29"/>
        <v>866.8</v>
      </c>
      <c r="J90" s="15">
        <f t="shared" si="30"/>
        <v>849.46399999999994</v>
      </c>
    </row>
    <row r="91" spans="1:10" x14ac:dyDescent="0.25">
      <c r="A91" s="12">
        <v>9</v>
      </c>
      <c r="B91" s="12" t="s">
        <v>206</v>
      </c>
      <c r="C91" s="12" t="s">
        <v>101</v>
      </c>
      <c r="D91" s="13" t="s">
        <v>103</v>
      </c>
      <c r="E91" s="13">
        <v>26</v>
      </c>
      <c r="F91" s="13">
        <v>1045</v>
      </c>
      <c r="G91" s="14">
        <f t="shared" si="21"/>
        <v>940.5</v>
      </c>
      <c r="H91" s="15">
        <f t="shared" si="28"/>
        <v>921.68999999999994</v>
      </c>
      <c r="I91" s="14">
        <f t="shared" si="29"/>
        <v>919.6</v>
      </c>
      <c r="J91" s="15">
        <f t="shared" si="30"/>
        <v>901.20799999999997</v>
      </c>
    </row>
    <row r="92" spans="1:10" x14ac:dyDescent="0.25">
      <c r="A92" s="12">
        <v>10</v>
      </c>
      <c r="B92" s="12" t="s">
        <v>206</v>
      </c>
      <c r="C92" s="12" t="s">
        <v>102</v>
      </c>
      <c r="D92" s="13" t="s">
        <v>103</v>
      </c>
      <c r="E92" s="13">
        <v>28</v>
      </c>
      <c r="F92" s="13">
        <v>1170</v>
      </c>
      <c r="G92" s="14">
        <f t="shared" si="21"/>
        <v>1053</v>
      </c>
      <c r="H92" s="15">
        <f t="shared" si="28"/>
        <v>1031.94</v>
      </c>
      <c r="I92" s="14">
        <f t="shared" si="29"/>
        <v>1029.5999999999999</v>
      </c>
      <c r="J92" s="15">
        <f t="shared" si="30"/>
        <v>1009.0079999999999</v>
      </c>
    </row>
    <row r="93" spans="1:10" x14ac:dyDescent="0.25">
      <c r="A93" s="12"/>
      <c r="B93" s="12"/>
      <c r="C93" s="12"/>
      <c r="D93" s="13"/>
      <c r="E93" s="13"/>
      <c r="F93" s="13"/>
      <c r="G93" s="13"/>
      <c r="H93" s="13"/>
      <c r="I93" s="13"/>
      <c r="J93" s="13"/>
    </row>
    <row r="94" spans="1:10" x14ac:dyDescent="0.25">
      <c r="A94" s="12"/>
      <c r="B94" s="12"/>
      <c r="C94" s="12"/>
      <c r="D94" s="13"/>
      <c r="E94" s="13"/>
      <c r="F94" s="13"/>
      <c r="G94" s="13"/>
      <c r="H94" s="13"/>
      <c r="I94" s="13"/>
      <c r="J94" s="13"/>
    </row>
    <row r="95" spans="1:10" ht="21" x14ac:dyDescent="0.25">
      <c r="A95" s="7" t="s">
        <v>0</v>
      </c>
      <c r="B95" s="7" t="s">
        <v>204</v>
      </c>
      <c r="C95" s="7" t="s">
        <v>34</v>
      </c>
      <c r="D95" s="7" t="s">
        <v>104</v>
      </c>
      <c r="E95" s="7" t="s">
        <v>8</v>
      </c>
      <c r="F95" s="7" t="s">
        <v>1</v>
      </c>
      <c r="G95" s="7" t="s">
        <v>6</v>
      </c>
      <c r="H95" s="7" t="s">
        <v>3</v>
      </c>
      <c r="I95" s="7" t="s">
        <v>5</v>
      </c>
      <c r="J95" s="7" t="s">
        <v>4</v>
      </c>
    </row>
    <row r="96" spans="1:10" x14ac:dyDescent="0.25">
      <c r="A96" s="12">
        <v>1</v>
      </c>
      <c r="B96" s="12" t="s">
        <v>207</v>
      </c>
      <c r="C96" s="12" t="s">
        <v>105</v>
      </c>
      <c r="D96" s="13" t="s">
        <v>106</v>
      </c>
      <c r="E96" s="13">
        <v>20</v>
      </c>
      <c r="F96" s="13">
        <v>995</v>
      </c>
      <c r="G96" s="14">
        <f>F96*90%</f>
        <v>895.5</v>
      </c>
      <c r="H96" s="15">
        <f>F96*90%*98%</f>
        <v>877.59</v>
      </c>
      <c r="I96" s="14">
        <f>F96*88%</f>
        <v>875.6</v>
      </c>
      <c r="J96" s="15">
        <f>F96*88%*98%</f>
        <v>858.08799999999997</v>
      </c>
    </row>
    <row r="97" spans="1:10" x14ac:dyDescent="0.25">
      <c r="A97" s="12">
        <v>2</v>
      </c>
      <c r="B97" s="12" t="s">
        <v>207</v>
      </c>
      <c r="C97" s="12" t="s">
        <v>107</v>
      </c>
      <c r="D97" s="13" t="s">
        <v>106</v>
      </c>
      <c r="E97" s="13">
        <v>22</v>
      </c>
      <c r="F97" s="13">
        <v>1125</v>
      </c>
      <c r="G97" s="14">
        <f t="shared" ref="G97:G107" si="31">F97*90%</f>
        <v>1012.5</v>
      </c>
      <c r="H97" s="15">
        <f t="shared" ref="H97:H107" si="32">F97*90%*98%</f>
        <v>992.25</v>
      </c>
      <c r="I97" s="14">
        <f t="shared" ref="I97:I107" si="33">F97*88%</f>
        <v>990</v>
      </c>
      <c r="J97" s="15">
        <f t="shared" ref="J97:J107" si="34">F97*88%*98%</f>
        <v>970.19999999999993</v>
      </c>
    </row>
    <row r="98" spans="1:10" x14ac:dyDescent="0.25">
      <c r="A98" s="12">
        <v>3</v>
      </c>
      <c r="B98" s="12" t="s">
        <v>207</v>
      </c>
      <c r="C98" s="12" t="s">
        <v>108</v>
      </c>
      <c r="D98" s="13" t="s">
        <v>106</v>
      </c>
      <c r="E98" s="13">
        <v>24</v>
      </c>
      <c r="F98" s="13">
        <v>1205</v>
      </c>
      <c r="G98" s="14">
        <f t="shared" si="31"/>
        <v>1084.5</v>
      </c>
      <c r="H98" s="15">
        <f t="shared" si="32"/>
        <v>1062.81</v>
      </c>
      <c r="I98" s="14">
        <f t="shared" si="33"/>
        <v>1060.4000000000001</v>
      </c>
      <c r="J98" s="15">
        <f t="shared" si="34"/>
        <v>1039.192</v>
      </c>
    </row>
    <row r="99" spans="1:10" x14ac:dyDescent="0.25">
      <c r="A99" s="12">
        <v>4</v>
      </c>
      <c r="B99" s="12" t="s">
        <v>207</v>
      </c>
      <c r="C99" s="12" t="s">
        <v>109</v>
      </c>
      <c r="D99" s="13" t="s">
        <v>106</v>
      </c>
      <c r="E99" s="13">
        <v>26</v>
      </c>
      <c r="F99" s="13">
        <v>1360</v>
      </c>
      <c r="G99" s="14">
        <f t="shared" si="31"/>
        <v>1224</v>
      </c>
      <c r="H99" s="15">
        <f t="shared" si="32"/>
        <v>1199.52</v>
      </c>
      <c r="I99" s="14">
        <f t="shared" si="33"/>
        <v>1196.8</v>
      </c>
      <c r="J99" s="15">
        <f t="shared" si="34"/>
        <v>1172.864</v>
      </c>
    </row>
    <row r="100" spans="1:10" x14ac:dyDescent="0.25">
      <c r="A100" s="12">
        <v>5</v>
      </c>
      <c r="B100" s="12" t="s">
        <v>207</v>
      </c>
      <c r="C100" s="12" t="s">
        <v>110</v>
      </c>
      <c r="D100" s="13" t="s">
        <v>106</v>
      </c>
      <c r="E100" s="13">
        <v>28</v>
      </c>
      <c r="F100" s="13">
        <v>1500</v>
      </c>
      <c r="G100" s="14">
        <f t="shared" si="31"/>
        <v>1350</v>
      </c>
      <c r="H100" s="15">
        <f t="shared" si="32"/>
        <v>1323</v>
      </c>
      <c r="I100" s="14">
        <f t="shared" si="33"/>
        <v>1320</v>
      </c>
      <c r="J100" s="15">
        <f t="shared" si="34"/>
        <v>1293.5999999999999</v>
      </c>
    </row>
    <row r="101" spans="1:10" x14ac:dyDescent="0.25">
      <c r="A101" s="12">
        <v>6</v>
      </c>
      <c r="B101" s="12" t="s">
        <v>207</v>
      </c>
      <c r="C101" s="12" t="s">
        <v>111</v>
      </c>
      <c r="D101" s="13" t="s">
        <v>106</v>
      </c>
      <c r="E101" s="13">
        <v>30</v>
      </c>
      <c r="F101" s="13">
        <v>1630</v>
      </c>
      <c r="G101" s="14">
        <f t="shared" si="31"/>
        <v>1467</v>
      </c>
      <c r="H101" s="15">
        <f t="shared" si="32"/>
        <v>1437.66</v>
      </c>
      <c r="I101" s="14">
        <f t="shared" si="33"/>
        <v>1434.4</v>
      </c>
      <c r="J101" s="15">
        <f t="shared" si="34"/>
        <v>1405.712</v>
      </c>
    </row>
    <row r="102" spans="1:10" x14ac:dyDescent="0.25">
      <c r="A102" s="12">
        <v>7</v>
      </c>
      <c r="B102" s="12" t="s">
        <v>207</v>
      </c>
      <c r="C102" s="12" t="s">
        <v>112</v>
      </c>
      <c r="D102" s="13" t="s">
        <v>118</v>
      </c>
      <c r="E102" s="13">
        <v>20</v>
      </c>
      <c r="F102" s="13">
        <v>1080</v>
      </c>
      <c r="G102" s="14">
        <f t="shared" si="31"/>
        <v>972</v>
      </c>
      <c r="H102" s="15">
        <f t="shared" si="32"/>
        <v>952.56</v>
      </c>
      <c r="I102" s="14">
        <f t="shared" si="33"/>
        <v>950.4</v>
      </c>
      <c r="J102" s="15">
        <f t="shared" si="34"/>
        <v>931.39199999999994</v>
      </c>
    </row>
    <row r="103" spans="1:10" x14ac:dyDescent="0.25">
      <c r="A103" s="12">
        <v>8</v>
      </c>
      <c r="B103" s="12" t="s">
        <v>207</v>
      </c>
      <c r="C103" s="12" t="s">
        <v>113</v>
      </c>
      <c r="D103" s="13" t="s">
        <v>118</v>
      </c>
      <c r="E103" s="13">
        <v>22</v>
      </c>
      <c r="F103" s="13">
        <v>1205</v>
      </c>
      <c r="G103" s="14">
        <f t="shared" si="31"/>
        <v>1084.5</v>
      </c>
      <c r="H103" s="15">
        <f t="shared" si="32"/>
        <v>1062.81</v>
      </c>
      <c r="I103" s="14">
        <f t="shared" si="33"/>
        <v>1060.4000000000001</v>
      </c>
      <c r="J103" s="15">
        <f t="shared" si="34"/>
        <v>1039.192</v>
      </c>
    </row>
    <row r="104" spans="1:10" x14ac:dyDescent="0.25">
      <c r="A104" s="12">
        <v>9</v>
      </c>
      <c r="B104" s="12" t="s">
        <v>207</v>
      </c>
      <c r="C104" s="12" t="s">
        <v>114</v>
      </c>
      <c r="D104" s="13" t="s">
        <v>118</v>
      </c>
      <c r="E104" s="13">
        <v>24</v>
      </c>
      <c r="F104" s="13">
        <v>1300</v>
      </c>
      <c r="G104" s="14">
        <f t="shared" si="31"/>
        <v>1170</v>
      </c>
      <c r="H104" s="15">
        <f t="shared" si="32"/>
        <v>1146.5999999999999</v>
      </c>
      <c r="I104" s="14">
        <f t="shared" si="33"/>
        <v>1144</v>
      </c>
      <c r="J104" s="15">
        <f t="shared" si="34"/>
        <v>1121.1199999999999</v>
      </c>
    </row>
    <row r="105" spans="1:10" x14ac:dyDescent="0.25">
      <c r="A105" s="12">
        <v>10</v>
      </c>
      <c r="B105" s="12" t="s">
        <v>207</v>
      </c>
      <c r="C105" s="12" t="s">
        <v>115</v>
      </c>
      <c r="D105" s="13" t="s">
        <v>118</v>
      </c>
      <c r="E105" s="13">
        <v>26</v>
      </c>
      <c r="F105" s="13">
        <v>1440</v>
      </c>
      <c r="G105" s="14">
        <f t="shared" si="31"/>
        <v>1296</v>
      </c>
      <c r="H105" s="15">
        <f t="shared" si="32"/>
        <v>1270.08</v>
      </c>
      <c r="I105" s="14">
        <f t="shared" si="33"/>
        <v>1267.2</v>
      </c>
      <c r="J105" s="15">
        <f t="shared" si="34"/>
        <v>1241.856</v>
      </c>
    </row>
    <row r="106" spans="1:10" x14ac:dyDescent="0.25">
      <c r="A106" s="12">
        <v>11</v>
      </c>
      <c r="B106" s="12" t="s">
        <v>207</v>
      </c>
      <c r="C106" s="12" t="s">
        <v>116</v>
      </c>
      <c r="D106" s="13" t="s">
        <v>118</v>
      </c>
      <c r="E106" s="13">
        <v>28</v>
      </c>
      <c r="F106" s="13">
        <v>1575</v>
      </c>
      <c r="G106" s="14">
        <f t="shared" si="31"/>
        <v>1417.5</v>
      </c>
      <c r="H106" s="15">
        <f t="shared" si="32"/>
        <v>1389.1499999999999</v>
      </c>
      <c r="I106" s="14">
        <f t="shared" si="33"/>
        <v>1386</v>
      </c>
      <c r="J106" s="15">
        <f t="shared" si="34"/>
        <v>1358.28</v>
      </c>
    </row>
    <row r="107" spans="1:10" x14ac:dyDescent="0.25">
      <c r="A107" s="12">
        <v>12</v>
      </c>
      <c r="B107" s="12" t="s">
        <v>207</v>
      </c>
      <c r="C107" s="12" t="s">
        <v>117</v>
      </c>
      <c r="D107" s="13" t="s">
        <v>118</v>
      </c>
      <c r="E107" s="13">
        <v>30</v>
      </c>
      <c r="F107" s="13">
        <v>1710</v>
      </c>
      <c r="G107" s="14">
        <f t="shared" si="31"/>
        <v>1539</v>
      </c>
      <c r="H107" s="15">
        <f t="shared" si="32"/>
        <v>1508.22</v>
      </c>
      <c r="I107" s="14">
        <f t="shared" si="33"/>
        <v>1504.8</v>
      </c>
      <c r="J107" s="15">
        <f t="shared" si="34"/>
        <v>1474.704</v>
      </c>
    </row>
    <row r="108" spans="1:10" x14ac:dyDescent="0.25">
      <c r="A108" s="12"/>
      <c r="B108" s="12"/>
      <c r="C108" s="12"/>
      <c r="D108" s="13"/>
      <c r="E108" s="13"/>
      <c r="F108" s="13"/>
      <c r="G108" s="13"/>
      <c r="H108" s="13"/>
      <c r="I108" s="13"/>
      <c r="J108" s="13"/>
    </row>
    <row r="109" spans="1:10" x14ac:dyDescent="0.25">
      <c r="A109" s="12"/>
      <c r="B109" s="12"/>
      <c r="C109" s="12"/>
      <c r="D109" s="13"/>
      <c r="E109" s="13"/>
      <c r="F109" s="13"/>
      <c r="G109" s="13"/>
      <c r="H109" s="13"/>
      <c r="I109" s="13"/>
      <c r="J109" s="13"/>
    </row>
    <row r="110" spans="1:10" ht="21" x14ac:dyDescent="0.25">
      <c r="A110" s="7" t="s">
        <v>0</v>
      </c>
      <c r="B110" s="7" t="s">
        <v>204</v>
      </c>
      <c r="C110" s="7" t="s">
        <v>34</v>
      </c>
      <c r="D110" s="7" t="s">
        <v>119</v>
      </c>
      <c r="E110" s="7" t="s">
        <v>8</v>
      </c>
      <c r="F110" s="7" t="s">
        <v>1</v>
      </c>
      <c r="G110" s="7" t="s">
        <v>6</v>
      </c>
      <c r="H110" s="7" t="s">
        <v>3</v>
      </c>
      <c r="I110" s="7" t="s">
        <v>5</v>
      </c>
      <c r="J110" s="7" t="s">
        <v>4</v>
      </c>
    </row>
    <row r="111" spans="1:10" x14ac:dyDescent="0.25">
      <c r="A111" s="12">
        <v>1</v>
      </c>
      <c r="B111" s="12" t="s">
        <v>208</v>
      </c>
      <c r="C111" s="12" t="s">
        <v>230</v>
      </c>
      <c r="D111" s="13" t="s">
        <v>120</v>
      </c>
      <c r="E111" s="13"/>
      <c r="F111" s="13">
        <v>3780</v>
      </c>
      <c r="G111" s="14">
        <f>F111*90%</f>
        <v>3402</v>
      </c>
      <c r="H111" s="15">
        <f>F111*90%*98%</f>
        <v>3333.96</v>
      </c>
      <c r="I111" s="14">
        <f>F111*88%</f>
        <v>3326.4</v>
      </c>
      <c r="J111" s="15">
        <f>F111*88%*98%</f>
        <v>3259.8719999999998</v>
      </c>
    </row>
    <row r="112" spans="1:10" x14ac:dyDescent="0.25">
      <c r="A112" s="12">
        <v>2</v>
      </c>
      <c r="B112" s="12" t="s">
        <v>208</v>
      </c>
      <c r="C112" s="12" t="s">
        <v>231</v>
      </c>
      <c r="D112" s="13" t="s">
        <v>121</v>
      </c>
      <c r="E112" s="13"/>
      <c r="F112" s="13">
        <v>4025</v>
      </c>
      <c r="G112" s="14">
        <f>F112*90%</f>
        <v>3622.5</v>
      </c>
      <c r="H112" s="15">
        <f>F112*90%*98%</f>
        <v>3550.0499999999997</v>
      </c>
      <c r="I112" s="14">
        <f>F112*88%</f>
        <v>3542</v>
      </c>
      <c r="J112" s="15">
        <f>F112*88%*98%</f>
        <v>3471.16</v>
      </c>
    </row>
    <row r="113" spans="1:10" x14ac:dyDescent="0.25">
      <c r="A113" s="12"/>
      <c r="B113" s="12"/>
      <c r="C113" s="12"/>
      <c r="D113" s="13"/>
      <c r="E113" s="13"/>
      <c r="F113" s="13"/>
      <c r="G113" s="13"/>
      <c r="H113" s="13"/>
      <c r="I113" s="13"/>
      <c r="J113" s="13"/>
    </row>
    <row r="114" spans="1:10" x14ac:dyDescent="0.25">
      <c r="A114" s="12"/>
      <c r="B114" s="12"/>
      <c r="C114" s="12"/>
      <c r="D114" s="13"/>
      <c r="E114" s="13"/>
      <c r="F114" s="13"/>
      <c r="G114" s="13"/>
      <c r="H114" s="13"/>
      <c r="I114" s="13"/>
      <c r="J114" s="13"/>
    </row>
    <row r="115" spans="1:10" ht="21" x14ac:dyDescent="0.25">
      <c r="A115" s="7" t="s">
        <v>0</v>
      </c>
      <c r="B115" s="7" t="s">
        <v>204</v>
      </c>
      <c r="C115" s="7" t="s">
        <v>34</v>
      </c>
      <c r="D115" s="7" t="s">
        <v>122</v>
      </c>
      <c r="E115" s="7" t="s">
        <v>8</v>
      </c>
      <c r="F115" s="7" t="s">
        <v>1</v>
      </c>
      <c r="G115" s="7" t="s">
        <v>6</v>
      </c>
      <c r="H115" s="7" t="s">
        <v>3</v>
      </c>
      <c r="I115" s="7" t="s">
        <v>5</v>
      </c>
      <c r="J115" s="7" t="s">
        <v>4</v>
      </c>
    </row>
    <row r="116" spans="1:10" x14ac:dyDescent="0.25">
      <c r="A116" s="12">
        <v>1</v>
      </c>
      <c r="B116" s="12" t="s">
        <v>209</v>
      </c>
      <c r="C116" s="12" t="s">
        <v>123</v>
      </c>
      <c r="D116" s="13" t="s">
        <v>122</v>
      </c>
      <c r="E116" s="13">
        <v>18</v>
      </c>
      <c r="F116" s="13">
        <v>845</v>
      </c>
      <c r="G116" s="14">
        <f>F116*90%</f>
        <v>760.5</v>
      </c>
      <c r="H116" s="15">
        <f>F116*90%*98%</f>
        <v>745.29</v>
      </c>
      <c r="I116" s="14">
        <f>F116*88%</f>
        <v>743.6</v>
      </c>
      <c r="J116" s="15">
        <f>F116*88%*98%</f>
        <v>728.72800000000007</v>
      </c>
    </row>
    <row r="117" spans="1:10" x14ac:dyDescent="0.25">
      <c r="A117" s="12">
        <v>2</v>
      </c>
      <c r="B117" s="12" t="s">
        <v>209</v>
      </c>
      <c r="C117" s="12" t="s">
        <v>124</v>
      </c>
      <c r="D117" s="13" t="s">
        <v>125</v>
      </c>
      <c r="E117" s="13">
        <v>18</v>
      </c>
      <c r="F117" s="13">
        <v>915</v>
      </c>
      <c r="G117" s="14">
        <f>F117*90%</f>
        <v>823.5</v>
      </c>
      <c r="H117" s="15">
        <f>F117*90%*98%</f>
        <v>807.03</v>
      </c>
      <c r="I117" s="14">
        <f>F117*88%</f>
        <v>805.2</v>
      </c>
      <c r="J117" s="15">
        <f>F117*88%*98%</f>
        <v>789.096</v>
      </c>
    </row>
    <row r="118" spans="1:10" s="21" customFormat="1" x14ac:dyDescent="0.25">
      <c r="A118" s="17"/>
      <c r="B118" s="17"/>
      <c r="C118" s="17"/>
      <c r="D118" s="18"/>
      <c r="E118" s="18"/>
      <c r="F118" s="18"/>
      <c r="G118" s="19"/>
      <c r="H118" s="20"/>
      <c r="I118" s="19"/>
      <c r="J118" s="20"/>
    </row>
    <row r="119" spans="1:10" x14ac:dyDescent="0.25">
      <c r="A119" s="12"/>
      <c r="B119" s="12"/>
      <c r="C119" s="12"/>
      <c r="D119" s="13"/>
      <c r="E119" s="13"/>
      <c r="F119" s="13"/>
      <c r="G119" s="22"/>
      <c r="H119" s="22"/>
      <c r="I119" s="13"/>
      <c r="J119" s="13"/>
    </row>
    <row r="120" spans="1:10" ht="21" x14ac:dyDescent="0.25">
      <c r="A120" s="7" t="s">
        <v>0</v>
      </c>
      <c r="B120" s="7" t="s">
        <v>204</v>
      </c>
      <c r="C120" s="7" t="s">
        <v>34</v>
      </c>
      <c r="D120" s="7" t="s">
        <v>122</v>
      </c>
      <c r="E120" s="7" t="s">
        <v>8</v>
      </c>
      <c r="F120" s="7" t="s">
        <v>1</v>
      </c>
      <c r="G120" s="7" t="s">
        <v>242</v>
      </c>
      <c r="H120" s="7" t="s">
        <v>243</v>
      </c>
      <c r="I120" s="7"/>
      <c r="J120" s="7"/>
    </row>
    <row r="121" spans="1:10" x14ac:dyDescent="0.25">
      <c r="A121" s="23">
        <v>1</v>
      </c>
      <c r="B121" s="23" t="s">
        <v>209</v>
      </c>
      <c r="C121" s="23" t="s">
        <v>126</v>
      </c>
      <c r="D121" s="24" t="s">
        <v>127</v>
      </c>
      <c r="E121" s="24">
        <v>20</v>
      </c>
      <c r="F121" s="24">
        <v>1105</v>
      </c>
      <c r="G121" s="25">
        <f>F121*94%</f>
        <v>1038.7</v>
      </c>
      <c r="H121" s="26">
        <f>F121*94%*98%</f>
        <v>1017.926</v>
      </c>
      <c r="I121" s="25"/>
      <c r="J121" s="26"/>
    </row>
    <row r="122" spans="1:10" x14ac:dyDescent="0.25">
      <c r="A122" s="12"/>
      <c r="B122" s="12"/>
      <c r="C122" s="12"/>
      <c r="D122" s="13"/>
      <c r="E122" s="13"/>
      <c r="F122" s="13"/>
      <c r="G122" s="22"/>
      <c r="H122" s="22"/>
      <c r="I122" s="13"/>
      <c r="J122" s="13"/>
    </row>
    <row r="123" spans="1:10" x14ac:dyDescent="0.25">
      <c r="A123" s="12"/>
      <c r="B123" s="12"/>
      <c r="C123" s="12"/>
      <c r="D123" s="13"/>
      <c r="E123" s="13"/>
      <c r="F123" s="13"/>
      <c r="G123" s="22"/>
      <c r="H123" s="22"/>
      <c r="I123" s="13"/>
      <c r="J123" s="13"/>
    </row>
    <row r="124" spans="1:10" x14ac:dyDescent="0.25">
      <c r="A124" s="12"/>
      <c r="B124" s="12"/>
      <c r="C124" s="12"/>
      <c r="D124" s="13"/>
      <c r="E124" s="13"/>
      <c r="F124" s="13"/>
      <c r="G124" s="22"/>
      <c r="H124" s="22"/>
      <c r="I124" s="13"/>
      <c r="J124" s="13"/>
    </row>
    <row r="125" spans="1:10" x14ac:dyDescent="0.25">
      <c r="A125" s="12"/>
      <c r="B125" s="12"/>
      <c r="C125" s="12"/>
      <c r="D125" s="13"/>
      <c r="E125" s="13"/>
      <c r="F125" s="13"/>
      <c r="G125" s="22"/>
      <c r="H125" s="22"/>
      <c r="I125" s="13"/>
      <c r="J125" s="13"/>
    </row>
    <row r="126" spans="1:10" x14ac:dyDescent="0.25">
      <c r="A126" s="12"/>
      <c r="B126" s="12"/>
      <c r="C126" s="12"/>
      <c r="D126" s="13"/>
      <c r="E126" s="13"/>
      <c r="F126" s="13"/>
      <c r="G126" s="13"/>
      <c r="H126" s="13"/>
      <c r="I126" s="13"/>
      <c r="J126" s="13"/>
    </row>
    <row r="127" spans="1:10" ht="21" x14ac:dyDescent="0.25">
      <c r="A127" s="7" t="s">
        <v>0</v>
      </c>
      <c r="B127" s="7" t="s">
        <v>204</v>
      </c>
      <c r="C127" s="7" t="s">
        <v>34</v>
      </c>
      <c r="D127" s="7" t="s">
        <v>129</v>
      </c>
      <c r="E127" s="7" t="s">
        <v>8</v>
      </c>
      <c r="F127" s="7" t="s">
        <v>1</v>
      </c>
      <c r="G127" s="7" t="s">
        <v>6</v>
      </c>
      <c r="H127" s="7" t="s">
        <v>3</v>
      </c>
      <c r="I127" s="7" t="s">
        <v>5</v>
      </c>
      <c r="J127" s="7" t="s">
        <v>4</v>
      </c>
    </row>
    <row r="128" spans="1:10" x14ac:dyDescent="0.25">
      <c r="A128" s="12">
        <v>1</v>
      </c>
      <c r="B128" s="12" t="s">
        <v>210</v>
      </c>
      <c r="C128" s="12" t="s">
        <v>130</v>
      </c>
      <c r="D128" s="13" t="s">
        <v>131</v>
      </c>
      <c r="E128" s="13">
        <v>26</v>
      </c>
      <c r="F128" s="13">
        <v>845</v>
      </c>
      <c r="G128" s="14">
        <f>F128*90%</f>
        <v>760.5</v>
      </c>
      <c r="H128" s="15">
        <f>F128*90%*98%</f>
        <v>745.29</v>
      </c>
      <c r="I128" s="14">
        <f>F128*88%</f>
        <v>743.6</v>
      </c>
      <c r="J128" s="15">
        <f>F128*88%*98%</f>
        <v>728.72800000000007</v>
      </c>
    </row>
    <row r="129" spans="1:10" x14ac:dyDescent="0.25">
      <c r="A129" s="12">
        <v>2</v>
      </c>
      <c r="B129" s="12" t="s">
        <v>210</v>
      </c>
      <c r="C129" s="12" t="s">
        <v>132</v>
      </c>
      <c r="D129" s="13" t="s">
        <v>131</v>
      </c>
      <c r="E129" s="13">
        <v>28</v>
      </c>
      <c r="F129" s="13">
        <v>915</v>
      </c>
      <c r="G129" s="14">
        <f>F129*90%</f>
        <v>823.5</v>
      </c>
      <c r="H129" s="15">
        <f>F129*90%*98%</f>
        <v>807.03</v>
      </c>
      <c r="I129" s="14">
        <f>F129*88%</f>
        <v>805.2</v>
      </c>
      <c r="J129" s="15">
        <f>F129*88%*98%</f>
        <v>789.096</v>
      </c>
    </row>
    <row r="130" spans="1:10" x14ac:dyDescent="0.25">
      <c r="A130" s="12">
        <v>3</v>
      </c>
      <c r="B130" s="12" t="s">
        <v>211</v>
      </c>
      <c r="C130" s="12" t="s">
        <v>133</v>
      </c>
      <c r="D130" s="13" t="s">
        <v>128</v>
      </c>
      <c r="E130" s="13">
        <v>24</v>
      </c>
      <c r="F130" s="13">
        <v>780</v>
      </c>
      <c r="G130" s="14">
        <f t="shared" ref="G130:G135" si="35">F130*90%</f>
        <v>702</v>
      </c>
      <c r="H130" s="15">
        <f t="shared" ref="H130:H135" si="36">F130*90%*98%</f>
        <v>687.96</v>
      </c>
      <c r="I130" s="14">
        <f t="shared" ref="I130:I135" si="37">F130*88%</f>
        <v>686.4</v>
      </c>
      <c r="J130" s="15">
        <f t="shared" ref="J130:J135" si="38">F130*88%*98%</f>
        <v>672.67199999999991</v>
      </c>
    </row>
    <row r="131" spans="1:10" x14ac:dyDescent="0.25">
      <c r="A131" s="12">
        <v>4</v>
      </c>
      <c r="B131" s="12" t="s">
        <v>211</v>
      </c>
      <c r="C131" s="12" t="s">
        <v>134</v>
      </c>
      <c r="D131" s="13" t="s">
        <v>128</v>
      </c>
      <c r="E131" s="13">
        <v>26</v>
      </c>
      <c r="F131" s="13">
        <v>915</v>
      </c>
      <c r="G131" s="14">
        <f t="shared" si="35"/>
        <v>823.5</v>
      </c>
      <c r="H131" s="15">
        <f t="shared" si="36"/>
        <v>807.03</v>
      </c>
      <c r="I131" s="14">
        <f t="shared" si="37"/>
        <v>805.2</v>
      </c>
      <c r="J131" s="15">
        <f t="shared" si="38"/>
        <v>789.096</v>
      </c>
    </row>
    <row r="132" spans="1:10" x14ac:dyDescent="0.25">
      <c r="A132" s="12">
        <v>5</v>
      </c>
      <c r="B132" s="12" t="s">
        <v>211</v>
      </c>
      <c r="C132" s="12" t="s">
        <v>135</v>
      </c>
      <c r="D132" s="13" t="s">
        <v>128</v>
      </c>
      <c r="E132" s="13">
        <v>28</v>
      </c>
      <c r="F132" s="13">
        <v>980</v>
      </c>
      <c r="G132" s="14">
        <f t="shared" si="35"/>
        <v>882</v>
      </c>
      <c r="H132" s="15">
        <f t="shared" si="36"/>
        <v>864.36</v>
      </c>
      <c r="I132" s="14">
        <f t="shared" si="37"/>
        <v>862.4</v>
      </c>
      <c r="J132" s="15">
        <f t="shared" si="38"/>
        <v>845.15199999999993</v>
      </c>
    </row>
    <row r="133" spans="1:10" x14ac:dyDescent="0.25">
      <c r="A133" s="12">
        <v>6</v>
      </c>
      <c r="B133" s="12" t="s">
        <v>211</v>
      </c>
      <c r="C133" s="12" t="s">
        <v>136</v>
      </c>
      <c r="D133" s="13" t="s">
        <v>138</v>
      </c>
      <c r="E133" s="13">
        <v>24</v>
      </c>
      <c r="F133" s="13">
        <v>845</v>
      </c>
      <c r="G133" s="14">
        <f t="shared" si="35"/>
        <v>760.5</v>
      </c>
      <c r="H133" s="15">
        <f t="shared" si="36"/>
        <v>745.29</v>
      </c>
      <c r="I133" s="14">
        <f t="shared" si="37"/>
        <v>743.6</v>
      </c>
      <c r="J133" s="15">
        <f t="shared" si="38"/>
        <v>728.72800000000007</v>
      </c>
    </row>
    <row r="134" spans="1:10" x14ac:dyDescent="0.25">
      <c r="A134" s="12">
        <v>7</v>
      </c>
      <c r="B134" s="12" t="s">
        <v>211</v>
      </c>
      <c r="C134" s="12" t="s">
        <v>137</v>
      </c>
      <c r="D134" s="13" t="s">
        <v>138</v>
      </c>
      <c r="E134" s="13">
        <v>26</v>
      </c>
      <c r="F134" s="13">
        <v>980</v>
      </c>
      <c r="G134" s="14">
        <f t="shared" si="35"/>
        <v>882</v>
      </c>
      <c r="H134" s="15">
        <f t="shared" si="36"/>
        <v>864.36</v>
      </c>
      <c r="I134" s="14">
        <f t="shared" si="37"/>
        <v>862.4</v>
      </c>
      <c r="J134" s="15">
        <f t="shared" si="38"/>
        <v>845.15199999999993</v>
      </c>
    </row>
    <row r="135" spans="1:10" x14ac:dyDescent="0.25">
      <c r="A135" s="12">
        <v>8</v>
      </c>
      <c r="B135" s="12" t="s">
        <v>211</v>
      </c>
      <c r="C135" s="12" t="s">
        <v>139</v>
      </c>
      <c r="D135" s="13" t="s">
        <v>138</v>
      </c>
      <c r="E135" s="13">
        <v>28</v>
      </c>
      <c r="F135" s="13">
        <v>1040</v>
      </c>
      <c r="G135" s="14">
        <f t="shared" si="35"/>
        <v>936</v>
      </c>
      <c r="H135" s="15">
        <f t="shared" si="36"/>
        <v>917.28</v>
      </c>
      <c r="I135" s="14">
        <f t="shared" si="37"/>
        <v>915.2</v>
      </c>
      <c r="J135" s="15">
        <f t="shared" si="38"/>
        <v>896.89600000000007</v>
      </c>
    </row>
    <row r="136" spans="1:10" x14ac:dyDescent="0.25">
      <c r="A136" s="12"/>
      <c r="B136" s="12"/>
      <c r="C136" s="12"/>
      <c r="D136" s="13"/>
      <c r="E136" s="13"/>
      <c r="F136" s="13"/>
      <c r="G136" s="13"/>
      <c r="H136" s="13"/>
      <c r="I136" s="13"/>
      <c r="J136" s="13"/>
    </row>
    <row r="137" spans="1:10" x14ac:dyDescent="0.25">
      <c r="A137" s="12"/>
      <c r="B137" s="12"/>
      <c r="C137" s="12"/>
      <c r="D137" s="13"/>
      <c r="E137" s="13"/>
      <c r="F137" s="13"/>
      <c r="G137" s="13"/>
      <c r="H137" s="13"/>
      <c r="I137" s="13"/>
      <c r="J137" s="13"/>
    </row>
    <row r="138" spans="1:10" ht="21" x14ac:dyDescent="0.25">
      <c r="A138" s="27" t="s">
        <v>0</v>
      </c>
      <c r="B138" s="27" t="s">
        <v>204</v>
      </c>
      <c r="C138" s="27" t="s">
        <v>34</v>
      </c>
      <c r="D138" s="27" t="s">
        <v>140</v>
      </c>
      <c r="E138" s="27" t="s">
        <v>8</v>
      </c>
      <c r="F138" s="27" t="s">
        <v>1</v>
      </c>
      <c r="G138" s="27" t="s">
        <v>242</v>
      </c>
      <c r="H138" s="27" t="s">
        <v>243</v>
      </c>
      <c r="I138" s="27" t="s">
        <v>5</v>
      </c>
      <c r="J138" s="27" t="s">
        <v>4</v>
      </c>
    </row>
    <row r="139" spans="1:10" x14ac:dyDescent="0.25">
      <c r="A139" s="12">
        <v>1</v>
      </c>
      <c r="B139" s="12" t="s">
        <v>212</v>
      </c>
      <c r="C139" s="12" t="s">
        <v>141</v>
      </c>
      <c r="D139" s="13" t="s">
        <v>142</v>
      </c>
      <c r="E139" s="13">
        <v>20</v>
      </c>
      <c r="F139" s="13">
        <v>1080</v>
      </c>
      <c r="G139" s="19">
        <f>F139*94%</f>
        <v>1015.1999999999999</v>
      </c>
      <c r="H139" s="20">
        <f>F139*94%*98%</f>
        <v>994.89599999999996</v>
      </c>
      <c r="I139" s="14"/>
      <c r="J139" s="15"/>
    </row>
    <row r="140" spans="1:10" x14ac:dyDescent="0.25">
      <c r="A140" s="12">
        <v>2</v>
      </c>
      <c r="B140" s="12" t="s">
        <v>212</v>
      </c>
      <c r="C140" s="12" t="s">
        <v>143</v>
      </c>
      <c r="D140" s="13" t="s">
        <v>142</v>
      </c>
      <c r="E140" s="13">
        <v>22</v>
      </c>
      <c r="F140" s="13">
        <v>1210</v>
      </c>
      <c r="G140" s="19">
        <f t="shared" ref="G140:G145" si="39">F140*94%</f>
        <v>1137.3999999999999</v>
      </c>
      <c r="H140" s="20">
        <f t="shared" ref="H140:H145" si="40">F140*94%*98%</f>
        <v>1114.6519999999998</v>
      </c>
      <c r="I140" s="14"/>
      <c r="J140" s="15"/>
    </row>
    <row r="141" spans="1:10" x14ac:dyDescent="0.25">
      <c r="A141" s="12">
        <v>3</v>
      </c>
      <c r="B141" s="12" t="s">
        <v>212</v>
      </c>
      <c r="C141" s="12" t="s">
        <v>144</v>
      </c>
      <c r="D141" s="13" t="s">
        <v>142</v>
      </c>
      <c r="E141" s="13">
        <v>24</v>
      </c>
      <c r="F141" s="13">
        <v>1485</v>
      </c>
      <c r="G141" s="19">
        <f t="shared" si="39"/>
        <v>1395.8999999999999</v>
      </c>
      <c r="H141" s="20">
        <f t="shared" si="40"/>
        <v>1367.9819999999997</v>
      </c>
      <c r="I141" s="14"/>
      <c r="J141" s="15"/>
    </row>
    <row r="142" spans="1:10" x14ac:dyDescent="0.25">
      <c r="A142" s="12">
        <v>4</v>
      </c>
      <c r="B142" s="12" t="s">
        <v>212</v>
      </c>
      <c r="C142" s="12" t="s">
        <v>145</v>
      </c>
      <c r="D142" s="13" t="s">
        <v>142</v>
      </c>
      <c r="E142" s="13">
        <v>26</v>
      </c>
      <c r="F142" s="13">
        <v>1650</v>
      </c>
      <c r="G142" s="19">
        <f t="shared" si="39"/>
        <v>1551</v>
      </c>
      <c r="H142" s="20">
        <f t="shared" si="40"/>
        <v>1519.98</v>
      </c>
      <c r="I142" s="14"/>
      <c r="J142" s="15"/>
    </row>
    <row r="143" spans="1:10" x14ac:dyDescent="0.25">
      <c r="A143" s="12">
        <v>5</v>
      </c>
      <c r="B143" s="12" t="s">
        <v>212</v>
      </c>
      <c r="C143" s="12" t="s">
        <v>147</v>
      </c>
      <c r="D143" s="13" t="s">
        <v>146</v>
      </c>
      <c r="E143" s="13">
        <v>24</v>
      </c>
      <c r="F143" s="13">
        <v>1375</v>
      </c>
      <c r="G143" s="19">
        <f t="shared" si="39"/>
        <v>1292.5</v>
      </c>
      <c r="H143" s="20">
        <f t="shared" si="40"/>
        <v>1266.6499999999999</v>
      </c>
      <c r="I143" s="14"/>
      <c r="J143" s="15"/>
    </row>
    <row r="144" spans="1:10" x14ac:dyDescent="0.25">
      <c r="A144" s="12">
        <v>6</v>
      </c>
      <c r="B144" s="12" t="s">
        <v>212</v>
      </c>
      <c r="C144" s="12" t="s">
        <v>148</v>
      </c>
      <c r="D144" s="13" t="s">
        <v>146</v>
      </c>
      <c r="E144" s="13">
        <v>26</v>
      </c>
      <c r="F144" s="13">
        <v>1585</v>
      </c>
      <c r="G144" s="19">
        <f t="shared" si="39"/>
        <v>1489.8999999999999</v>
      </c>
      <c r="H144" s="20">
        <f t="shared" si="40"/>
        <v>1460.1019999999999</v>
      </c>
      <c r="I144" s="14"/>
      <c r="J144" s="15"/>
    </row>
    <row r="145" spans="1:10" x14ac:dyDescent="0.25">
      <c r="A145" s="12">
        <v>7</v>
      </c>
      <c r="B145" s="12" t="s">
        <v>212</v>
      </c>
      <c r="C145" s="12" t="s">
        <v>149</v>
      </c>
      <c r="D145" s="13" t="s">
        <v>146</v>
      </c>
      <c r="E145" s="13">
        <v>30</v>
      </c>
      <c r="F145" s="13">
        <v>1860</v>
      </c>
      <c r="G145" s="19">
        <f t="shared" si="39"/>
        <v>1748.3999999999999</v>
      </c>
      <c r="H145" s="20">
        <f t="shared" si="40"/>
        <v>1713.4319999999998</v>
      </c>
      <c r="I145" s="14"/>
      <c r="J145" s="15"/>
    </row>
    <row r="146" spans="1:10" x14ac:dyDescent="0.25">
      <c r="A146" s="12"/>
      <c r="B146" s="12"/>
      <c r="C146" s="12"/>
      <c r="D146" s="13"/>
      <c r="E146" s="13"/>
      <c r="F146" s="13"/>
      <c r="G146" s="22"/>
      <c r="H146" s="22"/>
      <c r="I146" s="13"/>
      <c r="J146" s="13"/>
    </row>
    <row r="147" spans="1:10" x14ac:dyDescent="0.25">
      <c r="A147" s="12"/>
      <c r="B147" s="12"/>
      <c r="C147" s="12"/>
      <c r="D147" s="13"/>
      <c r="E147" s="13"/>
      <c r="F147" s="13"/>
      <c r="G147" s="13"/>
      <c r="H147" s="13"/>
      <c r="I147" s="13"/>
      <c r="J147" s="13"/>
    </row>
    <row r="148" spans="1:10" ht="21" x14ac:dyDescent="0.25">
      <c r="A148" s="27" t="s">
        <v>0</v>
      </c>
      <c r="B148" s="27" t="s">
        <v>204</v>
      </c>
      <c r="C148" s="27" t="s">
        <v>34</v>
      </c>
      <c r="D148" s="27" t="s">
        <v>150</v>
      </c>
      <c r="E148" s="27" t="s">
        <v>8</v>
      </c>
      <c r="F148" s="27" t="s">
        <v>1</v>
      </c>
      <c r="G148" s="27" t="s">
        <v>242</v>
      </c>
      <c r="H148" s="27" t="s">
        <v>243</v>
      </c>
      <c r="I148" s="27" t="s">
        <v>5</v>
      </c>
      <c r="J148" s="27" t="s">
        <v>4</v>
      </c>
    </row>
    <row r="149" spans="1:10" x14ac:dyDescent="0.25">
      <c r="A149" s="12">
        <v>1</v>
      </c>
      <c r="B149" s="12" t="s">
        <v>212</v>
      </c>
      <c r="C149" s="12" t="s">
        <v>151</v>
      </c>
      <c r="D149" s="13" t="s">
        <v>150</v>
      </c>
      <c r="E149" s="13">
        <v>3</v>
      </c>
      <c r="F149" s="13">
        <v>1365</v>
      </c>
      <c r="G149" s="19">
        <f>F149*94%</f>
        <v>1283.0999999999999</v>
      </c>
      <c r="H149" s="20">
        <f>F149*94%*98%</f>
        <v>1257.4379999999999</v>
      </c>
      <c r="I149" s="14"/>
      <c r="J149" s="15"/>
    </row>
    <row r="150" spans="1:10" x14ac:dyDescent="0.25">
      <c r="A150" s="12">
        <v>2</v>
      </c>
      <c r="B150" s="12" t="s">
        <v>212</v>
      </c>
      <c r="C150" s="12" t="s">
        <v>152</v>
      </c>
      <c r="D150" s="13" t="s">
        <v>150</v>
      </c>
      <c r="E150" s="13">
        <v>4</v>
      </c>
      <c r="F150" s="13">
        <v>1560</v>
      </c>
      <c r="G150" s="19">
        <f t="shared" ref="G150:G152" si="41">F150*94%</f>
        <v>1466.3999999999999</v>
      </c>
      <c r="H150" s="20">
        <f t="shared" ref="H150:H152" si="42">F150*94%*98%</f>
        <v>1437.0719999999999</v>
      </c>
      <c r="I150" s="14"/>
      <c r="J150" s="15"/>
    </row>
    <row r="151" spans="1:10" x14ac:dyDescent="0.25">
      <c r="A151" s="12">
        <v>3</v>
      </c>
      <c r="B151" s="12" t="s">
        <v>212</v>
      </c>
      <c r="C151" s="12" t="s">
        <v>153</v>
      </c>
      <c r="D151" s="13" t="s">
        <v>150</v>
      </c>
      <c r="E151" s="13">
        <v>5</v>
      </c>
      <c r="F151" s="13">
        <v>1825</v>
      </c>
      <c r="G151" s="19">
        <f t="shared" si="41"/>
        <v>1715.5</v>
      </c>
      <c r="H151" s="20">
        <f t="shared" si="42"/>
        <v>1681.19</v>
      </c>
      <c r="I151" s="14"/>
      <c r="J151" s="15"/>
    </row>
    <row r="152" spans="1:10" x14ac:dyDescent="0.25">
      <c r="A152" s="12">
        <v>4</v>
      </c>
      <c r="B152" s="12" t="s">
        <v>212</v>
      </c>
      <c r="C152" s="12" t="s">
        <v>154</v>
      </c>
      <c r="D152" s="13" t="s">
        <v>150</v>
      </c>
      <c r="E152" s="13">
        <v>6</v>
      </c>
      <c r="F152" s="13">
        <v>2050</v>
      </c>
      <c r="G152" s="19">
        <f t="shared" si="41"/>
        <v>1927</v>
      </c>
      <c r="H152" s="20">
        <f t="shared" si="42"/>
        <v>1888.46</v>
      </c>
      <c r="I152" s="14"/>
      <c r="J152" s="15"/>
    </row>
    <row r="153" spans="1:10" x14ac:dyDescent="0.25">
      <c r="A153" s="12"/>
      <c r="B153" s="12"/>
      <c r="C153" s="12"/>
      <c r="D153" s="13"/>
      <c r="E153" s="13"/>
      <c r="F153" s="13"/>
      <c r="G153" s="22"/>
      <c r="H153" s="22"/>
      <c r="I153" s="13"/>
      <c r="J153" s="13"/>
    </row>
    <row r="154" spans="1:10" x14ac:dyDescent="0.25">
      <c r="A154" s="12"/>
      <c r="B154" s="12"/>
      <c r="C154" s="12"/>
      <c r="D154" s="13"/>
      <c r="E154" s="13"/>
      <c r="F154" s="13"/>
      <c r="G154" s="13"/>
      <c r="H154" s="13"/>
      <c r="I154" s="13"/>
      <c r="J154" s="13"/>
    </row>
    <row r="155" spans="1:10" ht="21" x14ac:dyDescent="0.25">
      <c r="A155" s="27" t="s">
        <v>0</v>
      </c>
      <c r="B155" s="27" t="s">
        <v>204</v>
      </c>
      <c r="C155" s="27" t="s">
        <v>34</v>
      </c>
      <c r="D155" s="27" t="s">
        <v>155</v>
      </c>
      <c r="E155" s="27" t="s">
        <v>8</v>
      </c>
      <c r="F155" s="27" t="s">
        <v>1</v>
      </c>
      <c r="G155" s="27" t="s">
        <v>242</v>
      </c>
      <c r="H155" s="27" t="s">
        <v>243</v>
      </c>
      <c r="I155" s="27" t="s">
        <v>5</v>
      </c>
      <c r="J155" s="27" t="s">
        <v>4</v>
      </c>
    </row>
    <row r="156" spans="1:10" x14ac:dyDescent="0.25">
      <c r="A156" s="12">
        <v>1</v>
      </c>
      <c r="B156" s="12" t="s">
        <v>244</v>
      </c>
      <c r="C156" s="12" t="s">
        <v>156</v>
      </c>
      <c r="D156" s="13" t="s">
        <v>160</v>
      </c>
      <c r="E156" s="13">
        <v>26</v>
      </c>
      <c r="F156" s="13">
        <v>2135</v>
      </c>
      <c r="G156" s="19">
        <f>F156*94%</f>
        <v>2006.8999999999999</v>
      </c>
      <c r="H156" s="20">
        <f>F156*94%*98%</f>
        <v>1966.7619999999999</v>
      </c>
      <c r="I156" s="14"/>
      <c r="J156" s="15"/>
    </row>
    <row r="157" spans="1:10" x14ac:dyDescent="0.25">
      <c r="A157" s="12">
        <v>2</v>
      </c>
      <c r="B157" s="12" t="s">
        <v>244</v>
      </c>
      <c r="C157" s="12" t="s">
        <v>157</v>
      </c>
      <c r="D157" s="13" t="s">
        <v>160</v>
      </c>
      <c r="E157" s="13">
        <v>28</v>
      </c>
      <c r="F157" s="13">
        <v>2400</v>
      </c>
      <c r="G157" s="19">
        <f t="shared" ref="G157:G161" si="43">F157*94%</f>
        <v>2256</v>
      </c>
      <c r="H157" s="20">
        <f t="shared" ref="H157:H161" si="44">F157*94%*98%</f>
        <v>2210.88</v>
      </c>
      <c r="I157" s="14"/>
      <c r="J157" s="15"/>
    </row>
    <row r="158" spans="1:10" x14ac:dyDescent="0.25">
      <c r="A158" s="12">
        <v>3</v>
      </c>
      <c r="B158" s="12" t="s">
        <v>244</v>
      </c>
      <c r="C158" s="12" t="s">
        <v>158</v>
      </c>
      <c r="D158" s="13" t="s">
        <v>161</v>
      </c>
      <c r="E158" s="13">
        <v>26</v>
      </c>
      <c r="F158" s="13">
        <v>2400</v>
      </c>
      <c r="G158" s="19">
        <f t="shared" si="43"/>
        <v>2256</v>
      </c>
      <c r="H158" s="20">
        <f t="shared" si="44"/>
        <v>2210.88</v>
      </c>
      <c r="I158" s="14"/>
      <c r="J158" s="15"/>
    </row>
    <row r="159" spans="1:10" x14ac:dyDescent="0.25">
      <c r="A159" s="12">
        <v>4</v>
      </c>
      <c r="B159" s="12" t="s">
        <v>244</v>
      </c>
      <c r="C159" s="12" t="s">
        <v>159</v>
      </c>
      <c r="D159" s="13" t="s">
        <v>161</v>
      </c>
      <c r="E159" s="13">
        <v>28</v>
      </c>
      <c r="F159" s="13">
        <v>2680</v>
      </c>
      <c r="G159" s="19">
        <f t="shared" si="43"/>
        <v>2519.1999999999998</v>
      </c>
      <c r="H159" s="20">
        <f t="shared" si="44"/>
        <v>2468.8159999999998</v>
      </c>
      <c r="I159" s="14"/>
      <c r="J159" s="15"/>
    </row>
    <row r="160" spans="1:10" x14ac:dyDescent="0.25">
      <c r="A160" s="12">
        <v>5</v>
      </c>
      <c r="B160" s="12" t="s">
        <v>244</v>
      </c>
      <c r="C160" s="12" t="s">
        <v>163</v>
      </c>
      <c r="D160" s="13" t="s">
        <v>164</v>
      </c>
      <c r="E160" s="13">
        <v>24</v>
      </c>
      <c r="F160" s="13">
        <v>1715</v>
      </c>
      <c r="G160" s="19">
        <f t="shared" si="43"/>
        <v>1612.1</v>
      </c>
      <c r="H160" s="20">
        <f t="shared" si="44"/>
        <v>1579.8579999999999</v>
      </c>
      <c r="I160" s="14"/>
      <c r="J160" s="15"/>
    </row>
    <row r="161" spans="1:10" x14ac:dyDescent="0.25">
      <c r="A161" s="12">
        <v>6</v>
      </c>
      <c r="B161" s="12" t="s">
        <v>244</v>
      </c>
      <c r="C161" s="12" t="s">
        <v>166</v>
      </c>
      <c r="D161" s="13" t="s">
        <v>164</v>
      </c>
      <c r="E161" s="13">
        <v>26</v>
      </c>
      <c r="F161" s="13">
        <v>1840</v>
      </c>
      <c r="G161" s="19">
        <f t="shared" si="43"/>
        <v>1729.6</v>
      </c>
      <c r="H161" s="20">
        <f t="shared" si="44"/>
        <v>1695.0079999999998</v>
      </c>
      <c r="I161" s="14"/>
      <c r="J161" s="15"/>
    </row>
    <row r="162" spans="1:10" x14ac:dyDescent="0.25">
      <c r="A162" s="12"/>
      <c r="B162" s="12"/>
      <c r="C162" s="12"/>
      <c r="D162" s="13"/>
      <c r="E162" s="13"/>
      <c r="F162" s="13"/>
      <c r="G162" s="22"/>
      <c r="H162" s="22"/>
      <c r="I162" s="13"/>
      <c r="J162" s="13"/>
    </row>
    <row r="163" spans="1:10" x14ac:dyDescent="0.25">
      <c r="A163" s="12"/>
      <c r="B163" s="12"/>
      <c r="C163" s="12"/>
      <c r="D163" s="13"/>
      <c r="E163" s="13"/>
      <c r="F163" s="13"/>
      <c r="G163" s="13"/>
      <c r="H163" s="13"/>
      <c r="I163" s="13"/>
      <c r="J163" s="13"/>
    </row>
    <row r="164" spans="1:10" ht="21" x14ac:dyDescent="0.25">
      <c r="A164" s="27" t="s">
        <v>0</v>
      </c>
      <c r="B164" s="27" t="s">
        <v>204</v>
      </c>
      <c r="C164" s="27" t="s">
        <v>34</v>
      </c>
      <c r="D164" s="27" t="s">
        <v>162</v>
      </c>
      <c r="E164" s="27" t="s">
        <v>8</v>
      </c>
      <c r="F164" s="27" t="s">
        <v>1</v>
      </c>
      <c r="G164" s="27" t="s">
        <v>242</v>
      </c>
      <c r="H164" s="27" t="s">
        <v>243</v>
      </c>
      <c r="I164" s="27" t="s">
        <v>5</v>
      </c>
      <c r="J164" s="27" t="s">
        <v>4</v>
      </c>
    </row>
    <row r="165" spans="1:10" x14ac:dyDescent="0.25">
      <c r="A165" s="12">
        <v>1</v>
      </c>
      <c r="B165" s="12" t="s">
        <v>207</v>
      </c>
      <c r="C165" s="12" t="s">
        <v>165</v>
      </c>
      <c r="D165" s="13" t="s">
        <v>162</v>
      </c>
      <c r="E165" s="13">
        <v>26</v>
      </c>
      <c r="F165" s="13">
        <v>1925</v>
      </c>
      <c r="G165" s="19">
        <f t="shared" ref="G165:G167" si="45">F165*94%</f>
        <v>1809.5</v>
      </c>
      <c r="H165" s="20">
        <f t="shared" ref="H165" si="46">F165*94%*98%</f>
        <v>1773.31</v>
      </c>
      <c r="I165" s="14"/>
      <c r="J165" s="15"/>
    </row>
    <row r="166" spans="1:10" x14ac:dyDescent="0.25">
      <c r="A166" s="12">
        <v>2</v>
      </c>
      <c r="B166" s="12" t="s">
        <v>207</v>
      </c>
      <c r="C166" s="12" t="s">
        <v>167</v>
      </c>
      <c r="D166" s="13" t="s">
        <v>162</v>
      </c>
      <c r="E166" s="13">
        <v>28</v>
      </c>
      <c r="F166" s="13">
        <v>2060</v>
      </c>
      <c r="G166" s="19">
        <f t="shared" si="45"/>
        <v>1936.3999999999999</v>
      </c>
      <c r="H166" s="20">
        <f t="shared" ref="H166:H167" si="47">F166*94%*98%</f>
        <v>1897.6719999999998</v>
      </c>
      <c r="I166" s="14"/>
      <c r="J166" s="15"/>
    </row>
    <row r="167" spans="1:10" x14ac:dyDescent="0.25">
      <c r="A167" s="12">
        <v>3</v>
      </c>
      <c r="B167" s="12" t="s">
        <v>207</v>
      </c>
      <c r="C167" s="12" t="s">
        <v>168</v>
      </c>
      <c r="D167" s="13" t="s">
        <v>162</v>
      </c>
      <c r="E167" s="13">
        <v>30</v>
      </c>
      <c r="F167" s="13">
        <v>2270</v>
      </c>
      <c r="G167" s="19">
        <f t="shared" si="45"/>
        <v>2133.7999999999997</v>
      </c>
      <c r="H167" s="20">
        <f t="shared" si="47"/>
        <v>2091.1239999999998</v>
      </c>
      <c r="I167" s="14"/>
      <c r="J167" s="15"/>
    </row>
    <row r="168" spans="1:10" x14ac:dyDescent="0.25">
      <c r="A168" s="12"/>
      <c r="B168" s="12"/>
      <c r="C168" s="12"/>
      <c r="D168" s="13"/>
      <c r="E168" s="13"/>
      <c r="F168" s="13"/>
      <c r="G168" s="22"/>
      <c r="H168" s="22"/>
      <c r="I168" s="13"/>
      <c r="J168" s="13"/>
    </row>
    <row r="169" spans="1:10" x14ac:dyDescent="0.25">
      <c r="A169" s="12"/>
      <c r="B169" s="12"/>
      <c r="C169" s="12"/>
      <c r="D169" s="13"/>
      <c r="E169" s="13"/>
      <c r="F169" s="13"/>
      <c r="G169" s="13"/>
      <c r="H169" s="13"/>
      <c r="I169" s="13"/>
      <c r="J169" s="13"/>
    </row>
    <row r="170" spans="1:10" ht="21" x14ac:dyDescent="0.25">
      <c r="A170" s="27" t="s">
        <v>0</v>
      </c>
      <c r="B170" s="27" t="s">
        <v>204</v>
      </c>
      <c r="C170" s="27" t="s">
        <v>34</v>
      </c>
      <c r="D170" s="27" t="s">
        <v>169</v>
      </c>
      <c r="E170" s="27" t="s">
        <v>8</v>
      </c>
      <c r="F170" s="27" t="s">
        <v>1</v>
      </c>
      <c r="G170" s="27" t="s">
        <v>242</v>
      </c>
      <c r="H170" s="27" t="s">
        <v>243</v>
      </c>
      <c r="I170" s="27" t="s">
        <v>5</v>
      </c>
      <c r="J170" s="27" t="s">
        <v>4</v>
      </c>
    </row>
    <row r="171" spans="1:10" x14ac:dyDescent="0.25">
      <c r="A171" s="12">
        <v>1</v>
      </c>
      <c r="B171" s="12" t="s">
        <v>213</v>
      </c>
      <c r="C171" s="12" t="s">
        <v>170</v>
      </c>
      <c r="D171" s="13" t="s">
        <v>169</v>
      </c>
      <c r="E171" s="13">
        <v>14</v>
      </c>
      <c r="F171" s="13">
        <v>385</v>
      </c>
      <c r="G171" s="19">
        <f t="shared" ref="G171:G175" si="48">F171*94%</f>
        <v>361.9</v>
      </c>
      <c r="H171" s="20">
        <f t="shared" ref="H171" si="49">F171*94%*98%</f>
        <v>354.66199999999998</v>
      </c>
      <c r="I171" s="14"/>
      <c r="J171" s="15"/>
    </row>
    <row r="172" spans="1:10" x14ac:dyDescent="0.25">
      <c r="A172" s="12">
        <v>2</v>
      </c>
      <c r="B172" s="12" t="s">
        <v>213</v>
      </c>
      <c r="C172" s="12" t="s">
        <v>171</v>
      </c>
      <c r="D172" s="13" t="s">
        <v>169</v>
      </c>
      <c r="E172" s="13">
        <v>16</v>
      </c>
      <c r="F172" s="13">
        <v>465</v>
      </c>
      <c r="G172" s="19">
        <f t="shared" si="48"/>
        <v>437.09999999999997</v>
      </c>
      <c r="H172" s="20">
        <f t="shared" ref="H172:H175" si="50">F172*94%*98%</f>
        <v>428.35799999999995</v>
      </c>
      <c r="I172" s="14"/>
      <c r="J172" s="15"/>
    </row>
    <row r="173" spans="1:10" x14ac:dyDescent="0.25">
      <c r="A173" s="12">
        <v>3</v>
      </c>
      <c r="B173" s="12" t="s">
        <v>213</v>
      </c>
      <c r="C173" s="12" t="s">
        <v>172</v>
      </c>
      <c r="D173" s="13" t="s">
        <v>169</v>
      </c>
      <c r="E173" s="13">
        <v>18</v>
      </c>
      <c r="F173" s="13">
        <v>560</v>
      </c>
      <c r="G173" s="19">
        <f t="shared" si="48"/>
        <v>526.4</v>
      </c>
      <c r="H173" s="20">
        <f t="shared" si="50"/>
        <v>515.87199999999996</v>
      </c>
      <c r="I173" s="14"/>
      <c r="J173" s="15"/>
    </row>
    <row r="174" spans="1:10" x14ac:dyDescent="0.25">
      <c r="A174" s="12">
        <v>4</v>
      </c>
      <c r="B174" s="12" t="s">
        <v>213</v>
      </c>
      <c r="C174" s="12" t="s">
        <v>173</v>
      </c>
      <c r="D174" s="13" t="s">
        <v>169</v>
      </c>
      <c r="E174" s="13">
        <v>20</v>
      </c>
      <c r="F174" s="13">
        <v>630</v>
      </c>
      <c r="G174" s="19">
        <f t="shared" si="48"/>
        <v>592.19999999999993</v>
      </c>
      <c r="H174" s="20">
        <f t="shared" si="50"/>
        <v>580.35599999999988</v>
      </c>
      <c r="I174" s="14"/>
      <c r="J174" s="15"/>
    </row>
    <row r="175" spans="1:10" x14ac:dyDescent="0.25">
      <c r="A175" s="12">
        <v>5</v>
      </c>
      <c r="B175" s="12" t="s">
        <v>213</v>
      </c>
      <c r="C175" s="12" t="s">
        <v>174</v>
      </c>
      <c r="D175" s="13" t="s">
        <v>169</v>
      </c>
      <c r="E175" s="13">
        <v>22</v>
      </c>
      <c r="F175" s="13">
        <v>775</v>
      </c>
      <c r="G175" s="19">
        <f t="shared" si="48"/>
        <v>728.5</v>
      </c>
      <c r="H175" s="20">
        <f t="shared" si="50"/>
        <v>713.93</v>
      </c>
      <c r="I175" s="14"/>
      <c r="J175" s="15"/>
    </row>
    <row r="176" spans="1:10" x14ac:dyDescent="0.25">
      <c r="A176" s="12"/>
      <c r="B176" s="12"/>
      <c r="C176" s="12"/>
      <c r="D176" s="13"/>
      <c r="E176" s="13"/>
      <c r="F176" s="13"/>
      <c r="G176" s="22"/>
      <c r="H176" s="22"/>
      <c r="I176" s="13"/>
      <c r="J176" s="13"/>
    </row>
    <row r="177" spans="1:10" x14ac:dyDescent="0.25">
      <c r="A177" s="12"/>
      <c r="B177" s="12"/>
      <c r="C177" s="12"/>
      <c r="D177" s="13"/>
      <c r="E177" s="13"/>
      <c r="F177" s="13"/>
      <c r="G177" s="13"/>
      <c r="H177" s="13"/>
      <c r="I177" s="13"/>
      <c r="J177" s="13"/>
    </row>
    <row r="178" spans="1:10" ht="21" x14ac:dyDescent="0.25">
      <c r="A178" s="27" t="s">
        <v>0</v>
      </c>
      <c r="B178" s="27" t="s">
        <v>204</v>
      </c>
      <c r="C178" s="27" t="s">
        <v>34</v>
      </c>
      <c r="D178" s="27" t="s">
        <v>180</v>
      </c>
      <c r="E178" s="27" t="s">
        <v>8</v>
      </c>
      <c r="F178" s="27" t="s">
        <v>1</v>
      </c>
      <c r="G178" s="27" t="s">
        <v>242</v>
      </c>
      <c r="H178" s="27" t="s">
        <v>243</v>
      </c>
      <c r="I178" s="27" t="s">
        <v>5</v>
      </c>
      <c r="J178" s="27" t="s">
        <v>4</v>
      </c>
    </row>
    <row r="179" spans="1:10" x14ac:dyDescent="0.25">
      <c r="A179" s="12">
        <v>1</v>
      </c>
      <c r="B179" s="12" t="s">
        <v>214</v>
      </c>
      <c r="C179" s="12" t="s">
        <v>176</v>
      </c>
      <c r="D179" s="13" t="s">
        <v>175</v>
      </c>
      <c r="E179" s="13">
        <v>18</v>
      </c>
      <c r="F179" s="13">
        <v>120</v>
      </c>
      <c r="G179" s="19">
        <f t="shared" ref="G179:G191" si="51">F179*94%</f>
        <v>112.8</v>
      </c>
      <c r="H179" s="20">
        <f t="shared" ref="H179" si="52">F179*94%*98%</f>
        <v>110.544</v>
      </c>
      <c r="I179" s="14"/>
      <c r="J179" s="15"/>
    </row>
    <row r="180" spans="1:10" x14ac:dyDescent="0.25">
      <c r="A180" s="12">
        <v>2</v>
      </c>
      <c r="B180" s="12" t="s">
        <v>214</v>
      </c>
      <c r="C180" s="12" t="s">
        <v>177</v>
      </c>
      <c r="D180" s="13" t="s">
        <v>175</v>
      </c>
      <c r="E180" s="13">
        <v>22</v>
      </c>
      <c r="F180" s="13">
        <v>160</v>
      </c>
      <c r="G180" s="19">
        <f t="shared" si="51"/>
        <v>150.39999999999998</v>
      </c>
      <c r="H180" s="20">
        <f t="shared" ref="H180:H191" si="53">F180*94%*98%</f>
        <v>147.39199999999997</v>
      </c>
      <c r="I180" s="14"/>
      <c r="J180" s="15"/>
    </row>
    <row r="181" spans="1:10" x14ac:dyDescent="0.25">
      <c r="A181" s="12">
        <v>3</v>
      </c>
      <c r="B181" s="12" t="s">
        <v>214</v>
      </c>
      <c r="C181" s="12" t="s">
        <v>178</v>
      </c>
      <c r="D181" s="13" t="s">
        <v>175</v>
      </c>
      <c r="E181" s="13">
        <v>24</v>
      </c>
      <c r="F181" s="13">
        <v>175</v>
      </c>
      <c r="G181" s="19">
        <f t="shared" si="51"/>
        <v>164.5</v>
      </c>
      <c r="H181" s="20">
        <f t="shared" si="53"/>
        <v>161.21</v>
      </c>
      <c r="I181" s="14"/>
      <c r="J181" s="15"/>
    </row>
    <row r="182" spans="1:10" x14ac:dyDescent="0.25">
      <c r="A182" s="12">
        <v>4</v>
      </c>
      <c r="B182" s="12" t="s">
        <v>214</v>
      </c>
      <c r="C182" s="12" t="s">
        <v>179</v>
      </c>
      <c r="D182" s="13" t="s">
        <v>175</v>
      </c>
      <c r="E182" s="13">
        <v>26</v>
      </c>
      <c r="F182" s="13">
        <v>200</v>
      </c>
      <c r="G182" s="19">
        <f t="shared" si="51"/>
        <v>188</v>
      </c>
      <c r="H182" s="20">
        <f t="shared" si="53"/>
        <v>184.24</v>
      </c>
      <c r="I182" s="14"/>
      <c r="J182" s="15"/>
    </row>
    <row r="183" spans="1:10" x14ac:dyDescent="0.25">
      <c r="A183" s="12">
        <v>5</v>
      </c>
      <c r="B183" s="12" t="s">
        <v>215</v>
      </c>
      <c r="C183" s="12" t="s">
        <v>181</v>
      </c>
      <c r="D183" s="13" t="s">
        <v>182</v>
      </c>
      <c r="E183" s="13">
        <v>10</v>
      </c>
      <c r="F183" s="13">
        <v>75</v>
      </c>
      <c r="G183" s="19">
        <f t="shared" si="51"/>
        <v>70.5</v>
      </c>
      <c r="H183" s="20">
        <f t="shared" si="53"/>
        <v>69.09</v>
      </c>
      <c r="I183" s="14"/>
      <c r="J183" s="15"/>
    </row>
    <row r="184" spans="1:10" x14ac:dyDescent="0.25">
      <c r="A184" s="12">
        <v>6</v>
      </c>
      <c r="B184" s="12" t="s">
        <v>215</v>
      </c>
      <c r="C184" s="12" t="s">
        <v>183</v>
      </c>
      <c r="D184" s="13" t="s">
        <v>182</v>
      </c>
      <c r="E184" s="13">
        <v>12</v>
      </c>
      <c r="F184" s="13">
        <v>100</v>
      </c>
      <c r="G184" s="19">
        <f t="shared" si="51"/>
        <v>94</v>
      </c>
      <c r="H184" s="20">
        <f t="shared" si="53"/>
        <v>92.12</v>
      </c>
      <c r="I184" s="14"/>
      <c r="J184" s="15"/>
    </row>
    <row r="185" spans="1:10" x14ac:dyDescent="0.25">
      <c r="A185" s="12">
        <v>7</v>
      </c>
      <c r="B185" s="12" t="s">
        <v>215</v>
      </c>
      <c r="C185" s="12" t="s">
        <v>184</v>
      </c>
      <c r="D185" s="13" t="s">
        <v>182</v>
      </c>
      <c r="E185" s="13">
        <v>14</v>
      </c>
      <c r="F185" s="13">
        <v>130</v>
      </c>
      <c r="G185" s="19">
        <f t="shared" si="51"/>
        <v>122.19999999999999</v>
      </c>
      <c r="H185" s="20">
        <f t="shared" si="53"/>
        <v>119.75599999999999</v>
      </c>
      <c r="I185" s="14"/>
      <c r="J185" s="15"/>
    </row>
    <row r="186" spans="1:10" x14ac:dyDescent="0.25">
      <c r="A186" s="12">
        <v>8</v>
      </c>
      <c r="B186" s="12" t="s">
        <v>215</v>
      </c>
      <c r="C186" s="12" t="s">
        <v>185</v>
      </c>
      <c r="D186" s="13" t="s">
        <v>182</v>
      </c>
      <c r="E186" s="13">
        <v>16</v>
      </c>
      <c r="F186" s="13">
        <v>165</v>
      </c>
      <c r="G186" s="19">
        <f t="shared" si="51"/>
        <v>155.1</v>
      </c>
      <c r="H186" s="20">
        <f t="shared" si="53"/>
        <v>151.99799999999999</v>
      </c>
      <c r="I186" s="14"/>
      <c r="J186" s="15"/>
    </row>
    <row r="187" spans="1:10" x14ac:dyDescent="0.25">
      <c r="A187" s="12">
        <v>9</v>
      </c>
      <c r="B187" s="12" t="s">
        <v>215</v>
      </c>
      <c r="C187" s="12" t="s">
        <v>186</v>
      </c>
      <c r="D187" s="13" t="s">
        <v>182</v>
      </c>
      <c r="E187" s="13">
        <v>18</v>
      </c>
      <c r="F187" s="13">
        <v>205</v>
      </c>
      <c r="G187" s="19">
        <f t="shared" si="51"/>
        <v>192.7</v>
      </c>
      <c r="H187" s="20">
        <f t="shared" si="53"/>
        <v>188.84599999999998</v>
      </c>
      <c r="I187" s="14"/>
      <c r="J187" s="15"/>
    </row>
    <row r="188" spans="1:10" x14ac:dyDescent="0.25">
      <c r="A188" s="12">
        <v>10</v>
      </c>
      <c r="B188" s="12" t="s">
        <v>215</v>
      </c>
      <c r="C188" s="12" t="s">
        <v>187</v>
      </c>
      <c r="D188" s="13" t="s">
        <v>182</v>
      </c>
      <c r="E188" s="13">
        <v>20</v>
      </c>
      <c r="F188" s="13">
        <v>265</v>
      </c>
      <c r="G188" s="19">
        <f t="shared" si="51"/>
        <v>249.1</v>
      </c>
      <c r="H188" s="20">
        <f t="shared" si="53"/>
        <v>244.11799999999999</v>
      </c>
      <c r="I188" s="14"/>
      <c r="J188" s="15"/>
    </row>
    <row r="189" spans="1:10" x14ac:dyDescent="0.25">
      <c r="A189" s="12">
        <v>11</v>
      </c>
      <c r="B189" s="12" t="s">
        <v>215</v>
      </c>
      <c r="C189" s="12" t="s">
        <v>188</v>
      </c>
      <c r="D189" s="13" t="s">
        <v>182</v>
      </c>
      <c r="E189" s="13">
        <v>22</v>
      </c>
      <c r="F189" s="13">
        <v>305</v>
      </c>
      <c r="G189" s="19">
        <f t="shared" si="51"/>
        <v>286.7</v>
      </c>
      <c r="H189" s="20">
        <f t="shared" si="53"/>
        <v>280.96600000000001</v>
      </c>
      <c r="I189" s="14"/>
      <c r="J189" s="15"/>
    </row>
    <row r="190" spans="1:10" x14ac:dyDescent="0.25">
      <c r="A190" s="12">
        <v>12</v>
      </c>
      <c r="B190" s="12" t="s">
        <v>215</v>
      </c>
      <c r="C190" s="12" t="s">
        <v>189</v>
      </c>
      <c r="D190" s="13" t="s">
        <v>182</v>
      </c>
      <c r="E190" s="13">
        <v>24</v>
      </c>
      <c r="F190" s="13">
        <v>380</v>
      </c>
      <c r="G190" s="19">
        <f t="shared" si="51"/>
        <v>357.2</v>
      </c>
      <c r="H190" s="20">
        <f t="shared" si="53"/>
        <v>350.05599999999998</v>
      </c>
      <c r="I190" s="14"/>
      <c r="J190" s="15"/>
    </row>
    <row r="191" spans="1:10" x14ac:dyDescent="0.25">
      <c r="A191" s="12">
        <v>13</v>
      </c>
      <c r="B191" s="12" t="s">
        <v>215</v>
      </c>
      <c r="C191" s="12" t="s">
        <v>190</v>
      </c>
      <c r="D191" s="13" t="s">
        <v>182</v>
      </c>
      <c r="E191" s="13">
        <v>26</v>
      </c>
      <c r="F191" s="13">
        <v>420</v>
      </c>
      <c r="G191" s="19">
        <f t="shared" si="51"/>
        <v>394.79999999999995</v>
      </c>
      <c r="H191" s="20">
        <f t="shared" si="53"/>
        <v>386.90399999999994</v>
      </c>
      <c r="I191" s="14"/>
      <c r="J191" s="15"/>
    </row>
    <row r="192" spans="1:10" x14ac:dyDescent="0.25">
      <c r="A192" s="12"/>
      <c r="B192" s="12"/>
      <c r="C192" s="12"/>
      <c r="D192" s="13"/>
      <c r="E192" s="13"/>
      <c r="F192" s="13"/>
      <c r="G192" s="22"/>
      <c r="H192" s="22"/>
      <c r="I192" s="13"/>
      <c r="J192" s="13"/>
    </row>
    <row r="193" spans="1:11" x14ac:dyDescent="0.25">
      <c r="A193" s="12"/>
      <c r="B193" s="12"/>
      <c r="C193" s="12"/>
      <c r="D193" s="13"/>
      <c r="E193" s="13"/>
      <c r="F193" s="13"/>
      <c r="G193" s="13"/>
      <c r="H193" s="13"/>
      <c r="I193" s="13"/>
      <c r="J193" s="13"/>
    </row>
    <row r="194" spans="1:11" ht="21" x14ac:dyDescent="0.25">
      <c r="A194" s="28" t="s">
        <v>0</v>
      </c>
      <c r="B194" s="28" t="s">
        <v>204</v>
      </c>
      <c r="C194" s="28" t="s">
        <v>34</v>
      </c>
      <c r="D194" s="28" t="s">
        <v>191</v>
      </c>
      <c r="E194" s="28" t="s">
        <v>8</v>
      </c>
      <c r="F194" s="28" t="s">
        <v>1</v>
      </c>
      <c r="G194" s="28" t="s">
        <v>6</v>
      </c>
      <c r="H194" s="28" t="s">
        <v>3</v>
      </c>
      <c r="I194" s="28" t="s">
        <v>5</v>
      </c>
      <c r="J194" s="28" t="s">
        <v>4</v>
      </c>
    </row>
    <row r="195" spans="1:11" x14ac:dyDescent="0.25">
      <c r="A195" s="12">
        <v>1</v>
      </c>
      <c r="B195" s="12" t="s">
        <v>216</v>
      </c>
      <c r="C195" s="12" t="s">
        <v>221</v>
      </c>
      <c r="D195" s="13" t="s">
        <v>192</v>
      </c>
      <c r="E195" s="13">
        <v>1.8</v>
      </c>
      <c r="F195" s="13">
        <v>1300</v>
      </c>
      <c r="G195" s="14">
        <f>F195*90%</f>
        <v>1170</v>
      </c>
      <c r="H195" s="15">
        <f>F195*90%*98%</f>
        <v>1146.5999999999999</v>
      </c>
      <c r="I195" s="14">
        <f>F195*88%</f>
        <v>1144</v>
      </c>
      <c r="J195" s="15">
        <f>F195*88%*98%</f>
        <v>1121.1199999999999</v>
      </c>
    </row>
    <row r="196" spans="1:11" x14ac:dyDescent="0.25">
      <c r="A196" s="12">
        <v>2</v>
      </c>
      <c r="B196" s="12" t="s">
        <v>216</v>
      </c>
      <c r="C196" s="12" t="s">
        <v>223</v>
      </c>
      <c r="D196" s="13" t="s">
        <v>222</v>
      </c>
      <c r="E196" s="13">
        <v>1.8</v>
      </c>
      <c r="F196" s="13">
        <v>950</v>
      </c>
      <c r="G196" s="14">
        <f t="shared" ref="G196:G198" si="54">F196*90%</f>
        <v>855</v>
      </c>
      <c r="H196" s="15">
        <f t="shared" ref="H196:H198" si="55">F196*90%*98%</f>
        <v>837.9</v>
      </c>
      <c r="I196" s="14">
        <f t="shared" ref="I196:I198" si="56">F196*88%</f>
        <v>836</v>
      </c>
      <c r="J196" s="15">
        <f t="shared" ref="J196:J198" si="57">F196*88%*98%</f>
        <v>819.28</v>
      </c>
    </row>
    <row r="197" spans="1:11" x14ac:dyDescent="0.25">
      <c r="A197" s="12">
        <v>3</v>
      </c>
      <c r="B197" s="12" t="s">
        <v>216</v>
      </c>
      <c r="C197" s="12" t="s">
        <v>224</v>
      </c>
      <c r="D197" s="13" t="s">
        <v>193</v>
      </c>
      <c r="E197" s="13">
        <v>1.8</v>
      </c>
      <c r="F197" s="13">
        <v>835</v>
      </c>
      <c r="G197" s="14">
        <f t="shared" si="54"/>
        <v>751.5</v>
      </c>
      <c r="H197" s="15">
        <f t="shared" si="55"/>
        <v>736.47</v>
      </c>
      <c r="I197" s="14">
        <f t="shared" si="56"/>
        <v>734.8</v>
      </c>
      <c r="J197" s="15">
        <f t="shared" si="57"/>
        <v>720.10399999999993</v>
      </c>
    </row>
    <row r="198" spans="1:11" x14ac:dyDescent="0.25">
      <c r="A198" s="12">
        <v>4</v>
      </c>
      <c r="B198" s="12" t="s">
        <v>216</v>
      </c>
      <c r="C198" s="12" t="s">
        <v>225</v>
      </c>
      <c r="D198" s="13" t="s">
        <v>193</v>
      </c>
      <c r="E198" s="13">
        <v>2.2000000000000002</v>
      </c>
      <c r="F198" s="13">
        <v>950</v>
      </c>
      <c r="G198" s="14">
        <f t="shared" si="54"/>
        <v>855</v>
      </c>
      <c r="H198" s="15">
        <f t="shared" si="55"/>
        <v>837.9</v>
      </c>
      <c r="I198" s="14">
        <f t="shared" si="56"/>
        <v>836</v>
      </c>
      <c r="J198" s="15">
        <f t="shared" si="57"/>
        <v>819.28</v>
      </c>
    </row>
    <row r="199" spans="1:11" x14ac:dyDescent="0.25">
      <c r="A199" s="12"/>
      <c r="B199" s="12"/>
      <c r="C199" s="12"/>
      <c r="D199" s="13"/>
      <c r="E199" s="13"/>
      <c r="F199" s="13"/>
      <c r="G199" s="13"/>
      <c r="H199" s="13"/>
      <c r="I199" s="13"/>
      <c r="J199" s="13"/>
    </row>
    <row r="200" spans="1:11" x14ac:dyDescent="0.25">
      <c r="A200" s="12"/>
      <c r="B200" s="12"/>
      <c r="C200" s="12"/>
      <c r="D200" s="13"/>
      <c r="E200" s="13"/>
      <c r="F200" s="13"/>
      <c r="G200" s="13"/>
      <c r="H200" s="13"/>
      <c r="I200" s="13"/>
      <c r="J200" s="13"/>
    </row>
    <row r="201" spans="1:11" ht="21" x14ac:dyDescent="0.25">
      <c r="A201" s="28" t="s">
        <v>0</v>
      </c>
      <c r="B201" s="28" t="s">
        <v>204</v>
      </c>
      <c r="C201" s="28" t="s">
        <v>34</v>
      </c>
      <c r="D201" s="28" t="s">
        <v>194</v>
      </c>
      <c r="E201" s="28" t="s">
        <v>8</v>
      </c>
      <c r="F201" s="28" t="s">
        <v>1</v>
      </c>
      <c r="G201" s="28" t="s">
        <v>6</v>
      </c>
      <c r="H201" s="28" t="s">
        <v>3</v>
      </c>
      <c r="I201" s="28" t="s">
        <v>5</v>
      </c>
      <c r="J201" s="28" t="s">
        <v>4</v>
      </c>
    </row>
    <row r="202" spans="1:11" x14ac:dyDescent="0.25">
      <c r="A202" s="12">
        <v>1</v>
      </c>
      <c r="B202" s="12" t="s">
        <v>217</v>
      </c>
      <c r="C202" s="12" t="s">
        <v>195</v>
      </c>
      <c r="D202" s="13" t="s">
        <v>198</v>
      </c>
      <c r="E202" s="13"/>
      <c r="F202" s="13">
        <v>4050</v>
      </c>
      <c r="G202" s="14">
        <f>F202*90%</f>
        <v>3645</v>
      </c>
      <c r="H202" s="15">
        <f>F202*90%*98%</f>
        <v>3572.1</v>
      </c>
      <c r="I202" s="14">
        <f>F202*88%</f>
        <v>3564</v>
      </c>
      <c r="J202" s="15">
        <f>F202*88%*98%</f>
        <v>3492.72</v>
      </c>
    </row>
    <row r="203" spans="1:11" x14ac:dyDescent="0.25">
      <c r="A203" s="12">
        <v>2</v>
      </c>
      <c r="B203" s="12" t="s">
        <v>217</v>
      </c>
      <c r="C203" s="12" t="s">
        <v>196</v>
      </c>
      <c r="D203" s="13" t="s">
        <v>197</v>
      </c>
      <c r="E203" s="13"/>
      <c r="F203" s="13">
        <v>3750</v>
      </c>
      <c r="G203" s="14">
        <f t="shared" ref="G203:G204" si="58">F203*90%</f>
        <v>3375</v>
      </c>
      <c r="H203" s="15">
        <f t="shared" ref="H203:H204" si="59">F203*90%*98%</f>
        <v>3307.5</v>
      </c>
      <c r="I203" s="14">
        <f t="shared" ref="I203:I204" si="60">F203*88%</f>
        <v>3300</v>
      </c>
      <c r="J203" s="15">
        <f t="shared" ref="J203:J204" si="61">F203*88%*98%</f>
        <v>3234</v>
      </c>
    </row>
    <row r="204" spans="1:11" x14ac:dyDescent="0.25">
      <c r="A204" s="12">
        <v>3</v>
      </c>
      <c r="B204" s="12" t="s">
        <v>217</v>
      </c>
      <c r="C204" s="12" t="s">
        <v>229</v>
      </c>
      <c r="D204" s="13" t="s">
        <v>199</v>
      </c>
      <c r="E204" s="13"/>
      <c r="F204" s="13">
        <v>3850</v>
      </c>
      <c r="G204" s="14">
        <f t="shared" si="58"/>
        <v>3465</v>
      </c>
      <c r="H204" s="15">
        <f t="shared" si="59"/>
        <v>3395.7</v>
      </c>
      <c r="I204" s="14">
        <f t="shared" si="60"/>
        <v>3388</v>
      </c>
      <c r="J204" s="15">
        <f t="shared" si="61"/>
        <v>3320.24</v>
      </c>
    </row>
    <row r="205" spans="1:11" x14ac:dyDescent="0.25">
      <c r="A205" s="12"/>
      <c r="B205" s="12"/>
      <c r="C205" s="12"/>
      <c r="D205" s="13"/>
      <c r="E205" s="13"/>
      <c r="F205" s="13"/>
      <c r="G205" s="14"/>
      <c r="H205" s="15"/>
      <c r="I205" s="14"/>
      <c r="J205" s="15"/>
    </row>
    <row r="206" spans="1:11" x14ac:dyDescent="0.25">
      <c r="A206" s="12"/>
      <c r="B206" s="12"/>
      <c r="C206" s="12"/>
      <c r="D206" s="13"/>
      <c r="E206" s="13"/>
      <c r="F206" s="13"/>
      <c r="G206" s="13"/>
      <c r="H206" s="13"/>
      <c r="I206" s="13"/>
      <c r="J206" s="13"/>
    </row>
    <row r="207" spans="1:11" ht="21" x14ac:dyDescent="0.25">
      <c r="A207" s="28" t="s">
        <v>0</v>
      </c>
      <c r="B207" s="28" t="s">
        <v>204</v>
      </c>
      <c r="C207" s="28" t="s">
        <v>34</v>
      </c>
      <c r="D207" s="28" t="s">
        <v>200</v>
      </c>
      <c r="E207" s="28" t="s">
        <v>8</v>
      </c>
      <c r="F207" s="28" t="s">
        <v>1</v>
      </c>
      <c r="G207" s="28" t="s">
        <v>6</v>
      </c>
      <c r="H207" s="28" t="s">
        <v>3</v>
      </c>
      <c r="I207" s="28" t="s">
        <v>5</v>
      </c>
      <c r="J207" s="28" t="s">
        <v>4</v>
      </c>
      <c r="K207" s="21"/>
    </row>
    <row r="208" spans="1:11" x14ac:dyDescent="0.25">
      <c r="A208" s="12">
        <v>1</v>
      </c>
      <c r="B208" s="12" t="s">
        <v>218</v>
      </c>
      <c r="C208" s="12" t="s">
        <v>226</v>
      </c>
      <c r="D208" s="13" t="s">
        <v>200</v>
      </c>
      <c r="E208" s="13">
        <v>750</v>
      </c>
      <c r="F208" s="13">
        <v>4800</v>
      </c>
      <c r="G208" s="14">
        <f>F208*90%</f>
        <v>4320</v>
      </c>
      <c r="H208" s="15">
        <f>F208*90%*98%</f>
        <v>4233.6000000000004</v>
      </c>
      <c r="I208" s="14">
        <f>F208*88%</f>
        <v>4224</v>
      </c>
      <c r="J208" s="15">
        <f>F208*88%*98%</f>
        <v>4139.5199999999995</v>
      </c>
    </row>
    <row r="209" spans="1:10" x14ac:dyDescent="0.25">
      <c r="A209" s="12">
        <v>2</v>
      </c>
      <c r="B209" s="12" t="s">
        <v>218</v>
      </c>
      <c r="C209" s="12" t="s">
        <v>227</v>
      </c>
      <c r="D209" s="13" t="s">
        <v>200</v>
      </c>
      <c r="E209" s="13">
        <v>850</v>
      </c>
      <c r="F209" s="13">
        <v>5150</v>
      </c>
      <c r="G209" s="14">
        <f t="shared" ref="G209:G210" si="62">F209*90%</f>
        <v>4635</v>
      </c>
      <c r="H209" s="15">
        <f t="shared" ref="H209:H210" si="63">F209*90%*98%</f>
        <v>4542.3</v>
      </c>
      <c r="I209" s="14">
        <f t="shared" ref="I209:I210" si="64">F209*88%</f>
        <v>4532</v>
      </c>
      <c r="J209" s="15">
        <f t="shared" ref="J209:J210" si="65">F209*88%*98%</f>
        <v>4441.3599999999997</v>
      </c>
    </row>
    <row r="210" spans="1:10" x14ac:dyDescent="0.25">
      <c r="A210" s="12">
        <v>3</v>
      </c>
      <c r="B210" s="12" t="s">
        <v>218</v>
      </c>
      <c r="C210" s="12" t="s">
        <v>228</v>
      </c>
      <c r="D210" s="13" t="s">
        <v>200</v>
      </c>
      <c r="E210" s="13">
        <v>1000</v>
      </c>
      <c r="F210" s="13">
        <v>5350</v>
      </c>
      <c r="G210" s="14">
        <f t="shared" si="62"/>
        <v>4815</v>
      </c>
      <c r="H210" s="15">
        <f t="shared" si="63"/>
        <v>4718.7</v>
      </c>
      <c r="I210" s="14">
        <f t="shared" si="64"/>
        <v>4708</v>
      </c>
      <c r="J210" s="15">
        <f t="shared" si="65"/>
        <v>4613.84</v>
      </c>
    </row>
    <row r="213" spans="1:10" ht="21" x14ac:dyDescent="0.25">
      <c r="A213" s="28" t="s">
        <v>0</v>
      </c>
      <c r="B213" s="28" t="s">
        <v>204</v>
      </c>
      <c r="C213" s="28" t="s">
        <v>34</v>
      </c>
      <c r="D213" s="28" t="s">
        <v>232</v>
      </c>
      <c r="E213" s="28" t="s">
        <v>8</v>
      </c>
      <c r="F213" s="28" t="s">
        <v>1</v>
      </c>
      <c r="G213" s="28" t="s">
        <v>6</v>
      </c>
      <c r="H213" s="28" t="s">
        <v>3</v>
      </c>
      <c r="I213" s="28" t="s">
        <v>5</v>
      </c>
      <c r="J213" s="28" t="s">
        <v>4</v>
      </c>
    </row>
    <row r="214" spans="1:10" x14ac:dyDescent="0.25">
      <c r="A214" s="12">
        <v>1</v>
      </c>
      <c r="B214" s="12" t="s">
        <v>233</v>
      </c>
      <c r="C214" s="12" t="s">
        <v>238</v>
      </c>
      <c r="D214" s="13" t="s">
        <v>234</v>
      </c>
      <c r="E214" s="13">
        <v>120</v>
      </c>
      <c r="F214" s="13">
        <v>1580</v>
      </c>
      <c r="G214" s="14">
        <f>F214*90%</f>
        <v>1422</v>
      </c>
      <c r="H214" s="15">
        <f>F214*90%*98%</f>
        <v>1393.56</v>
      </c>
      <c r="I214" s="14">
        <f>F214*88%</f>
        <v>1390.4</v>
      </c>
      <c r="J214" s="15">
        <f>F214*88%*98%</f>
        <v>1362.5920000000001</v>
      </c>
    </row>
    <row r="215" spans="1:10" x14ac:dyDescent="0.25">
      <c r="A215" s="12">
        <v>2</v>
      </c>
      <c r="B215" s="12" t="s">
        <v>233</v>
      </c>
      <c r="C215" s="12" t="s">
        <v>239</v>
      </c>
      <c r="D215" s="13" t="s">
        <v>235</v>
      </c>
      <c r="E215" s="13">
        <v>90</v>
      </c>
      <c r="F215" s="13">
        <v>2575</v>
      </c>
      <c r="G215" s="14">
        <f t="shared" ref="G215:G217" si="66">F215*90%</f>
        <v>2317.5</v>
      </c>
      <c r="H215" s="15">
        <f t="shared" ref="H215:H217" si="67">F215*90%*98%</f>
        <v>2271.15</v>
      </c>
      <c r="I215" s="14">
        <f t="shared" ref="I215:I217" si="68">F215*88%</f>
        <v>2266</v>
      </c>
      <c r="J215" s="15">
        <f t="shared" ref="J215:J217" si="69">F215*88%*98%</f>
        <v>2220.6799999999998</v>
      </c>
    </row>
    <row r="216" spans="1:10" x14ac:dyDescent="0.25">
      <c r="A216" s="12">
        <v>3</v>
      </c>
      <c r="B216" s="12" t="s">
        <v>233</v>
      </c>
      <c r="C216" s="12" t="s">
        <v>240</v>
      </c>
      <c r="D216" s="13" t="s">
        <v>235</v>
      </c>
      <c r="E216" s="13">
        <v>100</v>
      </c>
      <c r="F216" s="13">
        <v>2625</v>
      </c>
      <c r="G216" s="14">
        <f t="shared" si="66"/>
        <v>2362.5</v>
      </c>
      <c r="H216" s="15">
        <f t="shared" si="67"/>
        <v>2315.25</v>
      </c>
      <c r="I216" s="14">
        <f t="shared" si="68"/>
        <v>2310</v>
      </c>
      <c r="J216" s="15">
        <f t="shared" si="69"/>
        <v>2263.8000000000002</v>
      </c>
    </row>
    <row r="217" spans="1:10" x14ac:dyDescent="0.25">
      <c r="A217" s="12">
        <v>4</v>
      </c>
      <c r="B217" s="12" t="s">
        <v>233</v>
      </c>
      <c r="C217" s="12" t="s">
        <v>241</v>
      </c>
      <c r="D217" s="13" t="s">
        <v>236</v>
      </c>
      <c r="E217" s="13" t="s">
        <v>237</v>
      </c>
      <c r="F217" s="13">
        <v>4175</v>
      </c>
      <c r="G217" s="14">
        <f t="shared" si="66"/>
        <v>3757.5</v>
      </c>
      <c r="H217" s="15">
        <f t="shared" si="67"/>
        <v>3682.35</v>
      </c>
      <c r="I217" s="14">
        <f t="shared" si="68"/>
        <v>3674</v>
      </c>
      <c r="J217" s="15">
        <f t="shared" si="69"/>
        <v>3600.52</v>
      </c>
    </row>
  </sheetData>
  <sheetProtection algorithmName="SHA-512" hashValue="2fki/JQYO1CV2Uv5Y8XroC1iFv53pULhbO7vi4ex2unKPtQSCF2YaLhaNNvehweeQFoXJqxpO3KQvRSSDv/JnA==" saltValue="2J+Wv89znxv5oVRdDkyRpw==" spinCount="100000" sheet="1" objects="1" scenarios="1"/>
  <phoneticPr fontId="2" type="noConversion"/>
  <pageMargins left="0.7" right="0.7" top="0.75" bottom="0.75" header="0.3" footer="0.3"/>
  <pageSetup paperSize="9" scale="9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23B1-6959-4D91-AFDC-17D866D90E1D}">
  <dimension ref="A1"/>
  <sheetViews>
    <sheetView workbookViewId="0">
      <pane ySplit="1" topLeftCell="A3" activePane="bottomLeft" state="frozen"/>
      <selection pane="bottomLeft" activeCell="C13" sqref="C13"/>
    </sheetView>
  </sheetViews>
  <sheetFormatPr defaultRowHeight="15" x14ac:dyDescent="0.25"/>
  <cols>
    <col min="1" max="1" width="15.140625" style="45" bestFit="1" customWidth="1"/>
    <col min="2" max="2" width="14.5703125" bestFit="1" customWidth="1"/>
    <col min="3" max="3" width="11.85546875" bestFit="1" customWidth="1"/>
    <col min="4" max="4" width="10.140625" bestFit="1" customWidth="1"/>
    <col min="5" max="5" width="11.7109375" bestFit="1" customWidth="1"/>
    <col min="6" max="6" width="11.42578125" bestFit="1" customWidth="1"/>
  </cols>
  <sheetData>
    <row r="1" s="46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D82E-7C89-42B9-AA88-86FEFA24D74B}">
  <dimension ref="C1:M20"/>
  <sheetViews>
    <sheetView workbookViewId="0">
      <selection activeCell="L5" sqref="L5"/>
    </sheetView>
  </sheetViews>
  <sheetFormatPr defaultRowHeight="15" x14ac:dyDescent="0.25"/>
  <cols>
    <col min="1" max="12" width="9.140625" style="5"/>
    <col min="13" max="13" width="8.42578125" style="5" bestFit="1" customWidth="1"/>
    <col min="14" max="16384" width="9.140625" style="5"/>
  </cols>
  <sheetData>
    <row r="1" spans="3:13" x14ac:dyDescent="0.25">
      <c r="M1"/>
    </row>
    <row r="2" spans="3:13" x14ac:dyDescent="0.25">
      <c r="C2" s="5" t="s">
        <v>204</v>
      </c>
      <c r="E2" t="str">
        <f>Sheet1!G1</f>
        <v>D. 10</v>
      </c>
    </row>
    <row r="3" spans="3:13" x14ac:dyDescent="0.25">
      <c r="C3" s="5" t="s">
        <v>202</v>
      </c>
      <c r="E3" t="s">
        <v>3</v>
      </c>
    </row>
    <row r="4" spans="3:13" x14ac:dyDescent="0.25">
      <c r="C4" s="5" t="s">
        <v>203</v>
      </c>
      <c r="E4" t="str">
        <f>Sheet1!I1</f>
        <v>D. 12</v>
      </c>
    </row>
    <row r="5" spans="3:13" x14ac:dyDescent="0.25">
      <c r="C5" s="5" t="s">
        <v>205</v>
      </c>
      <c r="E5" t="str">
        <f>Sheet1!J1</f>
        <v>B. 14</v>
      </c>
    </row>
    <row r="6" spans="3:13" x14ac:dyDescent="0.25">
      <c r="C6" s="5" t="s">
        <v>206</v>
      </c>
      <c r="E6" t="str">
        <f>Sheet1!G120</f>
        <v>D. 6</v>
      </c>
    </row>
    <row r="7" spans="3:13" x14ac:dyDescent="0.25">
      <c r="C7" s="1" t="s">
        <v>244</v>
      </c>
      <c r="E7" t="str">
        <f>Sheet1!H120</f>
        <v>B. 8</v>
      </c>
    </row>
    <row r="8" spans="3:13" x14ac:dyDescent="0.25">
      <c r="C8" s="5" t="s">
        <v>208</v>
      </c>
      <c r="E8"/>
    </row>
    <row r="9" spans="3:13" x14ac:dyDescent="0.25">
      <c r="C9" s="6" t="s">
        <v>207</v>
      </c>
      <c r="E9"/>
    </row>
    <row r="10" spans="3:13" x14ac:dyDescent="0.25">
      <c r="C10" s="5" t="s">
        <v>209</v>
      </c>
      <c r="E10"/>
    </row>
    <row r="11" spans="3:13" x14ac:dyDescent="0.25">
      <c r="C11" s="5" t="s">
        <v>210</v>
      </c>
    </row>
    <row r="12" spans="3:13" x14ac:dyDescent="0.25">
      <c r="C12" s="5" t="s">
        <v>211</v>
      </c>
      <c r="E12"/>
    </row>
    <row r="13" spans="3:13" x14ac:dyDescent="0.25">
      <c r="C13" s="5" t="s">
        <v>212</v>
      </c>
      <c r="E13"/>
    </row>
    <row r="14" spans="3:13" x14ac:dyDescent="0.25">
      <c r="C14" s="5" t="s">
        <v>213</v>
      </c>
      <c r="E14"/>
    </row>
    <row r="15" spans="3:13" x14ac:dyDescent="0.25">
      <c r="C15" s="5" t="s">
        <v>214</v>
      </c>
    </row>
    <row r="16" spans="3:13" x14ac:dyDescent="0.25">
      <c r="C16" s="5" t="s">
        <v>215</v>
      </c>
      <c r="E16"/>
    </row>
    <row r="17" spans="3:3" x14ac:dyDescent="0.25">
      <c r="C17" s="5" t="s">
        <v>216</v>
      </c>
    </row>
    <row r="18" spans="3:3" x14ac:dyDescent="0.25">
      <c r="C18" s="5" t="s">
        <v>217</v>
      </c>
    </row>
    <row r="19" spans="3:3" x14ac:dyDescent="0.25">
      <c r="C19" s="5" t="s">
        <v>218</v>
      </c>
    </row>
    <row r="20" spans="3:3" x14ac:dyDescent="0.25">
      <c r="C20" s="5" t="s">
        <v>233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Memo</vt:lpstr>
      <vt:lpstr>Sheet2</vt:lpstr>
      <vt:lpstr>Sheet1</vt:lpstr>
      <vt:lpstr>Sheet4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Rabiul</dc:creator>
  <cp:lastModifiedBy>Rabiul</cp:lastModifiedBy>
  <cp:lastPrinted>2026-07-12T09:36:29Z</cp:lastPrinted>
  <dcterms:created xsi:type="dcterms:W3CDTF">2015-06-05T18:17:20Z</dcterms:created>
  <dcterms:modified xsi:type="dcterms:W3CDTF">2026-07-12T09:36:50Z</dcterms:modified>
</cp:coreProperties>
</file>