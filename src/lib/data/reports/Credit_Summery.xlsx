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Hamko\Format\"/>
    </mc:Choice>
  </mc:AlternateContent>
  <xr:revisionPtr revIDLastSave="0" documentId="13_ncr:1_{355708E5-99B0-4D15-8621-5FD1530D4F44}" xr6:coauthVersionLast="47" xr6:coauthVersionMax="47" xr10:uidLastSave="{00000000-0000-0000-0000-000000000000}"/>
  <bookViews>
    <workbookView xWindow="-120" yWindow="-120" windowWidth="20730" windowHeight="11310" tabRatio="898" xr2:uid="{00000000-000D-0000-FFFF-FFFF00000000}"/>
  </bookViews>
  <sheets>
    <sheet name="Home" sheetId="3" r:id="rId1"/>
    <sheet name="Moumita" sheetId="1" r:id="rId2"/>
    <sheet name="Razapur" sheetId="4" r:id="rId3"/>
    <sheet name="Kabir" sheetId="2" r:id="rId4"/>
    <sheet name="Miya" sheetId="5" r:id="rId5"/>
    <sheet name="Rafid" sheetId="6" r:id="rId6"/>
    <sheet name="Fatema" sheetId="7" r:id="rId7"/>
    <sheet name="Badhon" sheetId="8" r:id="rId8"/>
    <sheet name="Alam" sheetId="9" r:id="rId9"/>
    <sheet name="PakAzad" sheetId="10" r:id="rId10"/>
    <sheet name="Himel" sheetId="11" r:id="rId11"/>
    <sheet name="BhaiBhai" sheetId="12" r:id="rId12"/>
    <sheet name="Akon" sheetId="13" r:id="rId13"/>
    <sheet name="Modina" sheetId="14" r:id="rId14"/>
    <sheet name="Digital" sheetId="15" r:id="rId15"/>
    <sheet name="Talukder" sheetId="16" r:id="rId16"/>
    <sheet name="Khan" sheetId="17" r:id="rId17"/>
    <sheet name="Naim" sheetId="18" r:id="rId18"/>
    <sheet name="Hasan" sheetId="19" r:id="rId19"/>
    <sheet name="RafiqZ" sheetId="20" r:id="rId20"/>
    <sheet name="Ebrahim" sheetId="21" r:id="rId21"/>
    <sheet name="RafiqB" sheetId="22" r:id="rId22"/>
    <sheet name="Maisha" sheetId="23" r:id="rId23"/>
    <sheet name="Sheet6" sheetId="24" r:id="rId24"/>
    <sheet name="Sheet7" sheetId="25" r:id="rId25"/>
  </sheets>
  <calcPr calcId="191028"/>
  <pivotCaches>
    <pivotCache cacheId="0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5" i="23" l="1"/>
  <c r="E66" i="23"/>
  <c r="E67" i="23"/>
  <c r="E68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25" i="3"/>
  <c r="D25" i="3"/>
  <c r="C25" i="3"/>
  <c r="E65" i="22"/>
  <c r="E66" i="22"/>
  <c r="E67" i="22"/>
  <c r="E68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24" i="3"/>
  <c r="D24" i="3"/>
  <c r="C24" i="3"/>
  <c r="E65" i="21"/>
  <c r="E66" i="21"/>
  <c r="E67" i="21"/>
  <c r="E68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23" i="3"/>
  <c r="D23" i="3"/>
  <c r="C23" i="3"/>
  <c r="E102" i="25"/>
  <c r="C102" i="25"/>
  <c r="E101" i="25"/>
  <c r="C101" i="25"/>
  <c r="E100" i="25"/>
  <c r="C100" i="25"/>
  <c r="E99" i="25"/>
  <c r="C99" i="25"/>
  <c r="E98" i="25"/>
  <c r="C98" i="25"/>
  <c r="E97" i="25"/>
  <c r="C97" i="25"/>
  <c r="E96" i="25"/>
  <c r="C96" i="25"/>
  <c r="E95" i="25"/>
  <c r="C95" i="25"/>
  <c r="E94" i="25"/>
  <c r="C94" i="25"/>
  <c r="E93" i="25"/>
  <c r="C93" i="25"/>
  <c r="E92" i="25"/>
  <c r="C92" i="25"/>
  <c r="E91" i="25"/>
  <c r="C91" i="25"/>
  <c r="E90" i="25"/>
  <c r="C90" i="25"/>
  <c r="E89" i="25"/>
  <c r="C89" i="25"/>
  <c r="E88" i="25"/>
  <c r="C88" i="25"/>
  <c r="E87" i="25"/>
  <c r="C87" i="25"/>
  <c r="E86" i="25"/>
  <c r="C86" i="25"/>
  <c r="E85" i="25"/>
  <c r="C85" i="25"/>
  <c r="E84" i="25"/>
  <c r="C84" i="25"/>
  <c r="E83" i="25"/>
  <c r="C83" i="25"/>
  <c r="E82" i="25"/>
  <c r="C82" i="25"/>
  <c r="E81" i="25"/>
  <c r="C81" i="25"/>
  <c r="E80" i="25"/>
  <c r="C80" i="25"/>
  <c r="E79" i="25"/>
  <c r="C79" i="25"/>
  <c r="E78" i="25"/>
  <c r="C78" i="25"/>
  <c r="E77" i="25"/>
  <c r="C77" i="25"/>
  <c r="E76" i="25"/>
  <c r="C76" i="25"/>
  <c r="E75" i="25"/>
  <c r="C75" i="25"/>
  <c r="E74" i="25"/>
  <c r="C74" i="25"/>
  <c r="E73" i="25"/>
  <c r="C73" i="25"/>
  <c r="E72" i="25"/>
  <c r="C72" i="25"/>
  <c r="E71" i="25"/>
  <c r="C71" i="25"/>
  <c r="E70" i="25"/>
  <c r="C70" i="25"/>
  <c r="E69" i="25"/>
  <c r="C69" i="25"/>
  <c r="E68" i="25"/>
  <c r="C68" i="25"/>
  <c r="E67" i="25"/>
  <c r="C67" i="25"/>
  <c r="E66" i="25"/>
  <c r="C66" i="25"/>
  <c r="E65" i="25"/>
  <c r="C65" i="25"/>
  <c r="E64" i="25"/>
  <c r="C64" i="25"/>
  <c r="E63" i="25"/>
  <c r="C63" i="25"/>
  <c r="E62" i="25"/>
  <c r="C62" i="25"/>
  <c r="E61" i="25"/>
  <c r="C61" i="25"/>
  <c r="E60" i="25"/>
  <c r="C60" i="25"/>
  <c r="E59" i="25"/>
  <c r="C59" i="25"/>
  <c r="E58" i="25"/>
  <c r="C58" i="25"/>
  <c r="E57" i="25"/>
  <c r="C57" i="25"/>
  <c r="E56" i="25"/>
  <c r="C56" i="25"/>
  <c r="E55" i="25"/>
  <c r="C55" i="25"/>
  <c r="E54" i="25"/>
  <c r="C54" i="25"/>
  <c r="E53" i="25"/>
  <c r="C53" i="25"/>
  <c r="E52" i="25"/>
  <c r="C52" i="25"/>
  <c r="E51" i="25"/>
  <c r="C51" i="25"/>
  <c r="E50" i="25"/>
  <c r="C50" i="25"/>
  <c r="E49" i="25"/>
  <c r="C49" i="25"/>
  <c r="E48" i="25"/>
  <c r="C48" i="25"/>
  <c r="E47" i="25"/>
  <c r="C47" i="25"/>
  <c r="E46" i="25"/>
  <c r="C46" i="25"/>
  <c r="E45" i="25"/>
  <c r="C45" i="25"/>
  <c r="E44" i="25"/>
  <c r="C44" i="25"/>
  <c r="E43" i="25"/>
  <c r="C43" i="25"/>
  <c r="E42" i="25"/>
  <c r="C42" i="25"/>
  <c r="E41" i="25"/>
  <c r="C41" i="25"/>
  <c r="E40" i="25"/>
  <c r="C40" i="25"/>
  <c r="E39" i="25"/>
  <c r="C39" i="25"/>
  <c r="E38" i="25"/>
  <c r="C38" i="25"/>
  <c r="E37" i="25"/>
  <c r="C37" i="25"/>
  <c r="E36" i="25"/>
  <c r="C36" i="25"/>
  <c r="E35" i="25"/>
  <c r="C35" i="25"/>
  <c r="E34" i="25"/>
  <c r="C34" i="25"/>
  <c r="E33" i="25"/>
  <c r="C33" i="25"/>
  <c r="E32" i="25"/>
  <c r="C32" i="25"/>
  <c r="E31" i="25"/>
  <c r="C31" i="25"/>
  <c r="E30" i="25"/>
  <c r="C30" i="25"/>
  <c r="E29" i="25"/>
  <c r="C29" i="25"/>
  <c r="E28" i="25"/>
  <c r="C28" i="25"/>
  <c r="E27" i="25"/>
  <c r="C27" i="25"/>
  <c r="E26" i="25"/>
  <c r="C26" i="25"/>
  <c r="E25" i="25"/>
  <c r="C25" i="25"/>
  <c r="E24" i="25"/>
  <c r="C24" i="25"/>
  <c r="E23" i="25"/>
  <c r="C23" i="25"/>
  <c r="E22" i="25"/>
  <c r="C22" i="25"/>
  <c r="E21" i="25"/>
  <c r="C21" i="25"/>
  <c r="E20" i="25"/>
  <c r="C20" i="25"/>
  <c r="E19" i="25"/>
  <c r="C19" i="25"/>
  <c r="E18" i="25"/>
  <c r="C18" i="25"/>
  <c r="E17" i="25"/>
  <c r="C17" i="25"/>
  <c r="E16" i="25"/>
  <c r="C16" i="25"/>
  <c r="E15" i="25"/>
  <c r="C15" i="25"/>
  <c r="E14" i="25"/>
  <c r="C14" i="25"/>
  <c r="E13" i="25"/>
  <c r="C13" i="25"/>
  <c r="E12" i="25"/>
  <c r="C12" i="25"/>
  <c r="E11" i="25"/>
  <c r="C11" i="25"/>
  <c r="E10" i="25"/>
  <c r="C10" i="25"/>
  <c r="E9" i="25"/>
  <c r="C9" i="25"/>
  <c r="E8" i="25"/>
  <c r="C8" i="25"/>
  <c r="E7" i="25"/>
  <c r="C7" i="25"/>
  <c r="E6" i="25"/>
  <c r="C6" i="25"/>
  <c r="E5" i="25"/>
  <c r="C5" i="25"/>
  <c r="E4" i="25"/>
  <c r="C4" i="25"/>
  <c r="A1" i="25"/>
  <c r="E102" i="24"/>
  <c r="C102" i="24"/>
  <c r="E101" i="24"/>
  <c r="C101" i="24"/>
  <c r="E100" i="24"/>
  <c r="C100" i="24"/>
  <c r="E99" i="24"/>
  <c r="C99" i="24"/>
  <c r="E98" i="24"/>
  <c r="C98" i="24"/>
  <c r="E97" i="24"/>
  <c r="C97" i="24"/>
  <c r="E96" i="24"/>
  <c r="C96" i="24"/>
  <c r="E95" i="24"/>
  <c r="C95" i="24"/>
  <c r="E94" i="24"/>
  <c r="C94" i="24"/>
  <c r="E93" i="24"/>
  <c r="C93" i="24"/>
  <c r="E92" i="24"/>
  <c r="C92" i="24"/>
  <c r="E91" i="24"/>
  <c r="C91" i="24"/>
  <c r="E90" i="24"/>
  <c r="C90" i="24"/>
  <c r="E89" i="24"/>
  <c r="C89" i="24"/>
  <c r="E88" i="24"/>
  <c r="C88" i="24"/>
  <c r="E87" i="24"/>
  <c r="C87" i="24"/>
  <c r="E86" i="24"/>
  <c r="C86" i="24"/>
  <c r="E85" i="24"/>
  <c r="C85" i="24"/>
  <c r="E84" i="24"/>
  <c r="C84" i="24"/>
  <c r="E83" i="24"/>
  <c r="C83" i="24"/>
  <c r="E82" i="24"/>
  <c r="C82" i="24"/>
  <c r="E81" i="24"/>
  <c r="C81" i="24"/>
  <c r="E80" i="24"/>
  <c r="C80" i="24"/>
  <c r="E79" i="24"/>
  <c r="C79" i="24"/>
  <c r="E78" i="24"/>
  <c r="C78" i="24"/>
  <c r="E77" i="24"/>
  <c r="C77" i="24"/>
  <c r="E76" i="24"/>
  <c r="C76" i="24"/>
  <c r="E75" i="24"/>
  <c r="C75" i="24"/>
  <c r="E74" i="24"/>
  <c r="C74" i="24"/>
  <c r="E73" i="24"/>
  <c r="C73" i="24"/>
  <c r="E72" i="24"/>
  <c r="C72" i="24"/>
  <c r="E71" i="24"/>
  <c r="C71" i="24"/>
  <c r="E70" i="24"/>
  <c r="C70" i="24"/>
  <c r="E69" i="24"/>
  <c r="C69" i="24"/>
  <c r="E68" i="24"/>
  <c r="C68" i="24"/>
  <c r="E67" i="24"/>
  <c r="C67" i="24"/>
  <c r="E66" i="24"/>
  <c r="C66" i="24"/>
  <c r="E65" i="24"/>
  <c r="C65" i="24"/>
  <c r="E64" i="24"/>
  <c r="C64" i="24"/>
  <c r="E63" i="24"/>
  <c r="C63" i="24"/>
  <c r="E62" i="24"/>
  <c r="C62" i="24"/>
  <c r="E61" i="24"/>
  <c r="C61" i="24"/>
  <c r="E60" i="24"/>
  <c r="C60" i="24"/>
  <c r="E59" i="24"/>
  <c r="C59" i="24"/>
  <c r="E58" i="24"/>
  <c r="C58" i="24"/>
  <c r="E57" i="24"/>
  <c r="C57" i="24"/>
  <c r="E56" i="24"/>
  <c r="C56" i="24"/>
  <c r="E55" i="24"/>
  <c r="C55" i="24"/>
  <c r="E54" i="24"/>
  <c r="C54" i="24"/>
  <c r="E53" i="24"/>
  <c r="C53" i="24"/>
  <c r="E52" i="24"/>
  <c r="C52" i="24"/>
  <c r="E51" i="24"/>
  <c r="C51" i="24"/>
  <c r="E50" i="24"/>
  <c r="C50" i="24"/>
  <c r="E49" i="24"/>
  <c r="C49" i="24"/>
  <c r="E48" i="24"/>
  <c r="C48" i="24"/>
  <c r="E47" i="24"/>
  <c r="C47" i="24"/>
  <c r="E46" i="24"/>
  <c r="C46" i="24"/>
  <c r="E45" i="24"/>
  <c r="C45" i="24"/>
  <c r="E44" i="24"/>
  <c r="C44" i="24"/>
  <c r="E43" i="24"/>
  <c r="C43" i="24"/>
  <c r="E42" i="24"/>
  <c r="C42" i="24"/>
  <c r="E41" i="24"/>
  <c r="C41" i="24"/>
  <c r="E40" i="24"/>
  <c r="C40" i="24"/>
  <c r="E39" i="24"/>
  <c r="C39" i="24"/>
  <c r="E38" i="24"/>
  <c r="C38" i="24"/>
  <c r="E37" i="24"/>
  <c r="C37" i="24"/>
  <c r="E36" i="24"/>
  <c r="C36" i="24"/>
  <c r="E35" i="24"/>
  <c r="C35" i="24"/>
  <c r="E34" i="24"/>
  <c r="C34" i="24"/>
  <c r="E33" i="24"/>
  <c r="C33" i="24"/>
  <c r="E32" i="24"/>
  <c r="C32" i="24"/>
  <c r="E31" i="24"/>
  <c r="C31" i="24"/>
  <c r="E30" i="24"/>
  <c r="C30" i="24"/>
  <c r="E29" i="24"/>
  <c r="C29" i="24"/>
  <c r="E28" i="24"/>
  <c r="C28" i="24"/>
  <c r="E27" i="24"/>
  <c r="C27" i="24"/>
  <c r="E26" i="24"/>
  <c r="C26" i="24"/>
  <c r="E25" i="24"/>
  <c r="C25" i="24"/>
  <c r="E24" i="24"/>
  <c r="C24" i="24"/>
  <c r="E23" i="24"/>
  <c r="C23" i="24"/>
  <c r="E22" i="24"/>
  <c r="C22" i="24"/>
  <c r="E21" i="24"/>
  <c r="C21" i="24"/>
  <c r="E20" i="24"/>
  <c r="C20" i="24"/>
  <c r="E19" i="24"/>
  <c r="C19" i="24"/>
  <c r="E18" i="24"/>
  <c r="C18" i="24"/>
  <c r="E17" i="24"/>
  <c r="C17" i="24"/>
  <c r="E16" i="24"/>
  <c r="C16" i="24"/>
  <c r="E15" i="24"/>
  <c r="C15" i="24"/>
  <c r="E14" i="24"/>
  <c r="C14" i="24"/>
  <c r="E13" i="24"/>
  <c r="C13" i="24"/>
  <c r="E12" i="24"/>
  <c r="C12" i="24"/>
  <c r="E11" i="24"/>
  <c r="C11" i="24"/>
  <c r="E10" i="24"/>
  <c r="C10" i="24"/>
  <c r="E9" i="24"/>
  <c r="C9" i="24"/>
  <c r="E8" i="24"/>
  <c r="C8" i="24"/>
  <c r="E7" i="24"/>
  <c r="C7" i="24"/>
  <c r="E6" i="24"/>
  <c r="C6" i="24"/>
  <c r="E5" i="24"/>
  <c r="C5" i="24"/>
  <c r="E4" i="24"/>
  <c r="C4" i="24"/>
  <c r="A1" i="24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A1" i="23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A1" i="22"/>
  <c r="E65" i="20"/>
  <c r="E66" i="20"/>
  <c r="E67" i="20"/>
  <c r="E68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22" i="3"/>
  <c r="D22" i="3"/>
  <c r="C22" i="3"/>
  <c r="D21" i="3"/>
  <c r="C21" i="3"/>
  <c r="E65" i="18"/>
  <c r="E66" i="18"/>
  <c r="E67" i="18"/>
  <c r="E68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20" i="3"/>
  <c r="D20" i="3"/>
  <c r="C20" i="3"/>
  <c r="C19" i="3"/>
  <c r="E65" i="17"/>
  <c r="E66" i="17"/>
  <c r="E67" i="17"/>
  <c r="E68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9" i="3"/>
  <c r="D19" i="3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A1" i="21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A1" i="20"/>
  <c r="E102" i="19"/>
  <c r="C102" i="19"/>
  <c r="E101" i="19"/>
  <c r="C101" i="19"/>
  <c r="E100" i="19"/>
  <c r="C100" i="19"/>
  <c r="E99" i="19"/>
  <c r="C99" i="19"/>
  <c r="E98" i="19"/>
  <c r="C98" i="19"/>
  <c r="E97" i="19"/>
  <c r="C97" i="19"/>
  <c r="E96" i="19"/>
  <c r="C96" i="19"/>
  <c r="E95" i="19"/>
  <c r="C95" i="19"/>
  <c r="E94" i="19"/>
  <c r="C94" i="19"/>
  <c r="E93" i="19"/>
  <c r="C93" i="19"/>
  <c r="E92" i="19"/>
  <c r="C92" i="19"/>
  <c r="E91" i="19"/>
  <c r="C91" i="19"/>
  <c r="E90" i="19"/>
  <c r="C90" i="19"/>
  <c r="E89" i="19"/>
  <c r="C89" i="19"/>
  <c r="E88" i="19"/>
  <c r="C88" i="19"/>
  <c r="E87" i="19"/>
  <c r="C87" i="19"/>
  <c r="E86" i="19"/>
  <c r="C86" i="19"/>
  <c r="E85" i="19"/>
  <c r="C85" i="19"/>
  <c r="E84" i="19"/>
  <c r="C84" i="19"/>
  <c r="E83" i="19"/>
  <c r="C83" i="19"/>
  <c r="E82" i="19"/>
  <c r="C82" i="19"/>
  <c r="E81" i="19"/>
  <c r="C81" i="19"/>
  <c r="E80" i="19"/>
  <c r="C80" i="19"/>
  <c r="E79" i="19"/>
  <c r="C79" i="19"/>
  <c r="E78" i="19"/>
  <c r="C78" i="19"/>
  <c r="E77" i="19"/>
  <c r="C77" i="19"/>
  <c r="E76" i="19"/>
  <c r="C76" i="19"/>
  <c r="E75" i="19"/>
  <c r="C75" i="19"/>
  <c r="E74" i="19"/>
  <c r="C74" i="19"/>
  <c r="E73" i="19"/>
  <c r="C73" i="19"/>
  <c r="E72" i="19"/>
  <c r="C72" i="19"/>
  <c r="E71" i="19"/>
  <c r="C71" i="19"/>
  <c r="E70" i="19"/>
  <c r="C70" i="19"/>
  <c r="E69" i="19"/>
  <c r="C69" i="19"/>
  <c r="E68" i="19"/>
  <c r="C68" i="19"/>
  <c r="E67" i="19"/>
  <c r="C67" i="19"/>
  <c r="E66" i="19"/>
  <c r="C66" i="19"/>
  <c r="E65" i="19"/>
  <c r="E34" i="19"/>
  <c r="E35" i="19"/>
  <c r="E36" i="19"/>
  <c r="E37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21" i="3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A1" i="19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A1" i="18"/>
  <c r="E65" i="16"/>
  <c r="E66" i="16"/>
  <c r="E67" i="16"/>
  <c r="E68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8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A1" i="17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A1" i="16"/>
  <c r="E102" i="15"/>
  <c r="C102" i="15"/>
  <c r="E101" i="15"/>
  <c r="C101" i="15"/>
  <c r="E100" i="15"/>
  <c r="C100" i="15"/>
  <c r="E99" i="15"/>
  <c r="C99" i="15"/>
  <c r="E98" i="15"/>
  <c r="C98" i="15"/>
  <c r="E97" i="15"/>
  <c r="C97" i="15"/>
  <c r="E96" i="15"/>
  <c r="C96" i="15"/>
  <c r="E95" i="15"/>
  <c r="C95" i="15"/>
  <c r="E94" i="15"/>
  <c r="C94" i="15"/>
  <c r="E93" i="15"/>
  <c r="C93" i="15"/>
  <c r="E92" i="15"/>
  <c r="C92" i="15"/>
  <c r="E91" i="15"/>
  <c r="C91" i="15"/>
  <c r="E90" i="15"/>
  <c r="C90" i="15"/>
  <c r="E89" i="15"/>
  <c r="C89" i="15"/>
  <c r="E88" i="15"/>
  <c r="C88" i="15"/>
  <c r="E87" i="15"/>
  <c r="C87" i="15"/>
  <c r="E86" i="15"/>
  <c r="C86" i="15"/>
  <c r="E85" i="15"/>
  <c r="C85" i="15"/>
  <c r="E84" i="15"/>
  <c r="C84" i="15"/>
  <c r="E83" i="15"/>
  <c r="C83" i="15"/>
  <c r="E82" i="15"/>
  <c r="C82" i="15"/>
  <c r="E81" i="15"/>
  <c r="C81" i="15"/>
  <c r="E80" i="15"/>
  <c r="C80" i="15"/>
  <c r="E79" i="15"/>
  <c r="C79" i="15"/>
  <c r="E78" i="15"/>
  <c r="C78" i="15"/>
  <c r="E77" i="15"/>
  <c r="C77" i="15"/>
  <c r="E76" i="15"/>
  <c r="C76" i="15"/>
  <c r="E75" i="15"/>
  <c r="C75" i="15"/>
  <c r="E74" i="15"/>
  <c r="C74" i="15"/>
  <c r="E73" i="15"/>
  <c r="C73" i="15"/>
  <c r="E72" i="15"/>
  <c r="C72" i="15"/>
  <c r="E71" i="15"/>
  <c r="C71" i="15"/>
  <c r="E70" i="15"/>
  <c r="C70" i="15"/>
  <c r="E69" i="15"/>
  <c r="C69" i="15"/>
  <c r="E68" i="15"/>
  <c r="C68" i="15"/>
  <c r="E67" i="15"/>
  <c r="C67" i="15"/>
  <c r="E66" i="15"/>
  <c r="C66" i="15"/>
  <c r="E65" i="15"/>
  <c r="C65" i="15"/>
  <c r="E64" i="15"/>
  <c r="C64" i="15"/>
  <c r="E63" i="15"/>
  <c r="C63" i="15"/>
  <c r="E62" i="15"/>
  <c r="C62" i="15"/>
  <c r="E61" i="15"/>
  <c r="C61" i="15"/>
  <c r="E60" i="15"/>
  <c r="C60" i="15"/>
  <c r="E59" i="15"/>
  <c r="C59" i="15"/>
  <c r="E58" i="15"/>
  <c r="C58" i="15"/>
  <c r="E57" i="15"/>
  <c r="C57" i="15"/>
  <c r="E56" i="15"/>
  <c r="C56" i="15"/>
  <c r="E55" i="15"/>
  <c r="C55" i="15"/>
  <c r="E54" i="15"/>
  <c r="C54" i="15"/>
  <c r="E53" i="15"/>
  <c r="C53" i="15"/>
  <c r="E52" i="15"/>
  <c r="C52" i="15"/>
  <c r="E51" i="15"/>
  <c r="C51" i="15"/>
  <c r="E50" i="15"/>
  <c r="C50" i="15"/>
  <c r="E49" i="15"/>
  <c r="C49" i="15"/>
  <c r="E48" i="15"/>
  <c r="C48" i="15"/>
  <c r="E47" i="15"/>
  <c r="C47" i="15"/>
  <c r="E46" i="15"/>
  <c r="C46" i="15"/>
  <c r="E45" i="15"/>
  <c r="C45" i="15"/>
  <c r="E44" i="15"/>
  <c r="C44" i="15"/>
  <c r="E43" i="15"/>
  <c r="C43" i="15"/>
  <c r="E42" i="15"/>
  <c r="C42" i="15"/>
  <c r="E41" i="15"/>
  <c r="C41" i="15"/>
  <c r="E40" i="15"/>
  <c r="C40" i="15"/>
  <c r="E39" i="15"/>
  <c r="C39" i="15"/>
  <c r="E38" i="15"/>
  <c r="C38" i="15"/>
  <c r="E37" i="15"/>
  <c r="C37" i="15"/>
  <c r="E36" i="15"/>
  <c r="C36" i="15"/>
  <c r="E35" i="15"/>
  <c r="C35" i="15"/>
  <c r="E34" i="15"/>
  <c r="C34" i="15"/>
  <c r="E33" i="15"/>
  <c r="C33" i="15"/>
  <c r="E32" i="15"/>
  <c r="C32" i="15"/>
  <c r="E31" i="15"/>
  <c r="C31" i="15"/>
  <c r="E30" i="15"/>
  <c r="C30" i="15"/>
  <c r="E29" i="15"/>
  <c r="C29" i="15"/>
  <c r="E28" i="15"/>
  <c r="C28" i="15"/>
  <c r="E27" i="15"/>
  <c r="C27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A1" i="15"/>
  <c r="E102" i="14"/>
  <c r="C102" i="14"/>
  <c r="E101" i="14"/>
  <c r="C101" i="14"/>
  <c r="E100" i="14"/>
  <c r="C100" i="14"/>
  <c r="E99" i="14"/>
  <c r="C99" i="14"/>
  <c r="E98" i="14"/>
  <c r="C98" i="14"/>
  <c r="E97" i="14"/>
  <c r="C97" i="14"/>
  <c r="E96" i="14"/>
  <c r="C96" i="14"/>
  <c r="E95" i="14"/>
  <c r="C95" i="14"/>
  <c r="E94" i="14"/>
  <c r="C94" i="14"/>
  <c r="E93" i="14"/>
  <c r="C93" i="14"/>
  <c r="E92" i="14"/>
  <c r="C92" i="14"/>
  <c r="E91" i="14"/>
  <c r="C91" i="14"/>
  <c r="E90" i="14"/>
  <c r="C90" i="14"/>
  <c r="E89" i="14"/>
  <c r="C89" i="14"/>
  <c r="E88" i="14"/>
  <c r="C88" i="14"/>
  <c r="E87" i="14"/>
  <c r="C87" i="14"/>
  <c r="E86" i="14"/>
  <c r="C86" i="14"/>
  <c r="E85" i="14"/>
  <c r="C85" i="14"/>
  <c r="E84" i="14"/>
  <c r="C84" i="14"/>
  <c r="E83" i="14"/>
  <c r="C83" i="14"/>
  <c r="E82" i="14"/>
  <c r="C82" i="14"/>
  <c r="E81" i="14"/>
  <c r="C81" i="14"/>
  <c r="E80" i="14"/>
  <c r="C80" i="14"/>
  <c r="E79" i="14"/>
  <c r="C79" i="14"/>
  <c r="E78" i="14"/>
  <c r="C78" i="14"/>
  <c r="E77" i="14"/>
  <c r="C77" i="14"/>
  <c r="E76" i="14"/>
  <c r="C76" i="14"/>
  <c r="E75" i="14"/>
  <c r="C75" i="14"/>
  <c r="E74" i="14"/>
  <c r="C74" i="14"/>
  <c r="E73" i="14"/>
  <c r="C73" i="14"/>
  <c r="E72" i="14"/>
  <c r="C72" i="14"/>
  <c r="E71" i="14"/>
  <c r="C71" i="14"/>
  <c r="E70" i="14"/>
  <c r="C70" i="14"/>
  <c r="E69" i="14"/>
  <c r="C69" i="14"/>
  <c r="E68" i="14"/>
  <c r="C68" i="14"/>
  <c r="E67" i="14"/>
  <c r="C67" i="14"/>
  <c r="E66" i="14"/>
  <c r="C66" i="14"/>
  <c r="E65" i="14"/>
  <c r="C65" i="14"/>
  <c r="E64" i="14"/>
  <c r="C64" i="14"/>
  <c r="E63" i="14"/>
  <c r="C63" i="14"/>
  <c r="E62" i="14"/>
  <c r="C62" i="14"/>
  <c r="E61" i="14"/>
  <c r="C61" i="14"/>
  <c r="E60" i="14"/>
  <c r="C60" i="14"/>
  <c r="E59" i="14"/>
  <c r="C59" i="14"/>
  <c r="E58" i="14"/>
  <c r="C58" i="14"/>
  <c r="E57" i="14"/>
  <c r="C57" i="14"/>
  <c r="E56" i="14"/>
  <c r="C56" i="14"/>
  <c r="E55" i="14"/>
  <c r="C55" i="14"/>
  <c r="E54" i="14"/>
  <c r="C54" i="14"/>
  <c r="E53" i="14"/>
  <c r="C53" i="14"/>
  <c r="E52" i="14"/>
  <c r="C52" i="14"/>
  <c r="E51" i="14"/>
  <c r="C51" i="14"/>
  <c r="E50" i="14"/>
  <c r="C50" i="14"/>
  <c r="E49" i="14"/>
  <c r="C49" i="14"/>
  <c r="E48" i="14"/>
  <c r="C48" i="14"/>
  <c r="E47" i="14"/>
  <c r="C47" i="14"/>
  <c r="E46" i="14"/>
  <c r="C46" i="14"/>
  <c r="E45" i="14"/>
  <c r="C45" i="14"/>
  <c r="E44" i="14"/>
  <c r="C44" i="14"/>
  <c r="E43" i="14"/>
  <c r="C43" i="14"/>
  <c r="E42" i="14"/>
  <c r="C42" i="14"/>
  <c r="E41" i="14"/>
  <c r="C41" i="14"/>
  <c r="E40" i="14"/>
  <c r="C40" i="14"/>
  <c r="E39" i="14"/>
  <c r="C39" i="14"/>
  <c r="E38" i="14"/>
  <c r="C38" i="14"/>
  <c r="E37" i="14"/>
  <c r="C37" i="14"/>
  <c r="E36" i="14"/>
  <c r="C36" i="14"/>
  <c r="E35" i="14"/>
  <c r="C35" i="14"/>
  <c r="E34" i="14"/>
  <c r="C34" i="14"/>
  <c r="E33" i="14"/>
  <c r="C33" i="14"/>
  <c r="E32" i="14"/>
  <c r="C32" i="14"/>
  <c r="E31" i="14"/>
  <c r="C31" i="14"/>
  <c r="E30" i="14"/>
  <c r="C30" i="14"/>
  <c r="E29" i="14"/>
  <c r="C29" i="14"/>
  <c r="E28" i="14"/>
  <c r="C28" i="14"/>
  <c r="E27" i="14"/>
  <c r="C27" i="14"/>
  <c r="E26" i="14"/>
  <c r="C26" i="14"/>
  <c r="E25" i="14"/>
  <c r="C25" i="14"/>
  <c r="E24" i="14"/>
  <c r="C24" i="14"/>
  <c r="E23" i="14"/>
  <c r="C2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A1" i="14"/>
  <c r="E102" i="13"/>
  <c r="C102" i="13"/>
  <c r="E101" i="13"/>
  <c r="C101" i="13"/>
  <c r="E100" i="13"/>
  <c r="C100" i="13"/>
  <c r="E99" i="13"/>
  <c r="C99" i="13"/>
  <c r="E98" i="13"/>
  <c r="C98" i="13"/>
  <c r="E97" i="13"/>
  <c r="C97" i="13"/>
  <c r="E96" i="13"/>
  <c r="C96" i="13"/>
  <c r="E95" i="13"/>
  <c r="C95" i="13"/>
  <c r="E94" i="13"/>
  <c r="C94" i="13"/>
  <c r="E93" i="13"/>
  <c r="C93" i="13"/>
  <c r="E92" i="13"/>
  <c r="C92" i="13"/>
  <c r="E91" i="13"/>
  <c r="C91" i="13"/>
  <c r="E90" i="13"/>
  <c r="C90" i="13"/>
  <c r="E89" i="13"/>
  <c r="C89" i="13"/>
  <c r="E88" i="13"/>
  <c r="C88" i="13"/>
  <c r="E87" i="13"/>
  <c r="C87" i="13"/>
  <c r="E86" i="13"/>
  <c r="C86" i="13"/>
  <c r="E85" i="13"/>
  <c r="C85" i="13"/>
  <c r="E84" i="13"/>
  <c r="C84" i="13"/>
  <c r="E83" i="13"/>
  <c r="C83" i="13"/>
  <c r="E82" i="13"/>
  <c r="C82" i="13"/>
  <c r="E81" i="13"/>
  <c r="C81" i="13"/>
  <c r="E80" i="13"/>
  <c r="C80" i="13"/>
  <c r="E79" i="13"/>
  <c r="C79" i="13"/>
  <c r="E78" i="13"/>
  <c r="C78" i="13"/>
  <c r="E77" i="13"/>
  <c r="C77" i="13"/>
  <c r="E76" i="13"/>
  <c r="C76" i="13"/>
  <c r="E75" i="13"/>
  <c r="C75" i="13"/>
  <c r="E74" i="13"/>
  <c r="C74" i="13"/>
  <c r="E73" i="13"/>
  <c r="C73" i="13"/>
  <c r="E72" i="13"/>
  <c r="C72" i="13"/>
  <c r="E71" i="13"/>
  <c r="C71" i="13"/>
  <c r="E70" i="13"/>
  <c r="C70" i="13"/>
  <c r="E69" i="13"/>
  <c r="C69" i="13"/>
  <c r="E68" i="13"/>
  <c r="C68" i="13"/>
  <c r="E67" i="13"/>
  <c r="C67" i="13"/>
  <c r="E66" i="13"/>
  <c r="C66" i="13"/>
  <c r="E65" i="13"/>
  <c r="C65" i="13"/>
  <c r="E64" i="13"/>
  <c r="C64" i="13"/>
  <c r="E63" i="13"/>
  <c r="C63" i="13"/>
  <c r="E62" i="13"/>
  <c r="C62" i="13"/>
  <c r="E61" i="13"/>
  <c r="C61" i="13"/>
  <c r="E60" i="13"/>
  <c r="C60" i="13"/>
  <c r="E59" i="13"/>
  <c r="C59" i="13"/>
  <c r="E58" i="13"/>
  <c r="C58" i="13"/>
  <c r="E57" i="13"/>
  <c r="C57" i="13"/>
  <c r="E56" i="13"/>
  <c r="C56" i="13"/>
  <c r="E55" i="13"/>
  <c r="C55" i="13"/>
  <c r="E54" i="13"/>
  <c r="C54" i="13"/>
  <c r="E53" i="13"/>
  <c r="C53" i="13"/>
  <c r="E52" i="13"/>
  <c r="C52" i="13"/>
  <c r="E51" i="13"/>
  <c r="C51" i="13"/>
  <c r="E50" i="13"/>
  <c r="C50" i="13"/>
  <c r="E49" i="13"/>
  <c r="C49" i="13"/>
  <c r="E48" i="13"/>
  <c r="C48" i="13"/>
  <c r="E47" i="13"/>
  <c r="C47" i="13"/>
  <c r="E46" i="13"/>
  <c r="C46" i="13"/>
  <c r="E45" i="13"/>
  <c r="C45" i="13"/>
  <c r="E44" i="13"/>
  <c r="C44" i="13"/>
  <c r="E43" i="13"/>
  <c r="C43" i="13"/>
  <c r="E42" i="13"/>
  <c r="C42" i="13"/>
  <c r="E41" i="13"/>
  <c r="C41" i="13"/>
  <c r="E40" i="13"/>
  <c r="C40" i="13"/>
  <c r="E39" i="13"/>
  <c r="C39" i="13"/>
  <c r="E38" i="13"/>
  <c r="C38" i="13"/>
  <c r="E37" i="13"/>
  <c r="C37" i="13"/>
  <c r="E36" i="13"/>
  <c r="C36" i="13"/>
  <c r="E35" i="13"/>
  <c r="C35" i="13"/>
  <c r="E34" i="13"/>
  <c r="C34" i="13"/>
  <c r="E33" i="13"/>
  <c r="C33" i="13"/>
  <c r="E32" i="13"/>
  <c r="C32" i="13"/>
  <c r="E31" i="13"/>
  <c r="C31" i="13"/>
  <c r="E30" i="13"/>
  <c r="C30" i="13"/>
  <c r="E29" i="13"/>
  <c r="C29" i="13"/>
  <c r="E28" i="13"/>
  <c r="C28" i="13"/>
  <c r="E27" i="13"/>
  <c r="C27" i="13"/>
  <c r="E26" i="13"/>
  <c r="C26" i="13"/>
  <c r="E25" i="13"/>
  <c r="C25" i="13"/>
  <c r="E24" i="13"/>
  <c r="C24" i="13"/>
  <c r="E23" i="13"/>
  <c r="C23" i="13"/>
  <c r="E22" i="13"/>
  <c r="C22" i="13"/>
  <c r="E21" i="13"/>
  <c r="C21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A1" i="13"/>
  <c r="E102" i="12"/>
  <c r="C102" i="12"/>
  <c r="E101" i="12"/>
  <c r="C101" i="12"/>
  <c r="E100" i="12"/>
  <c r="C100" i="12"/>
  <c r="E99" i="12"/>
  <c r="C99" i="12"/>
  <c r="E98" i="12"/>
  <c r="C98" i="12"/>
  <c r="E97" i="12"/>
  <c r="C97" i="12"/>
  <c r="E96" i="12"/>
  <c r="C96" i="12"/>
  <c r="E95" i="12"/>
  <c r="C95" i="12"/>
  <c r="E94" i="12"/>
  <c r="C94" i="12"/>
  <c r="E93" i="12"/>
  <c r="C93" i="12"/>
  <c r="E92" i="12"/>
  <c r="C92" i="12"/>
  <c r="E91" i="12"/>
  <c r="C91" i="12"/>
  <c r="E90" i="12"/>
  <c r="C90" i="12"/>
  <c r="E89" i="12"/>
  <c r="C89" i="12"/>
  <c r="E88" i="12"/>
  <c r="C88" i="12"/>
  <c r="E87" i="12"/>
  <c r="C87" i="12"/>
  <c r="E86" i="12"/>
  <c r="C86" i="12"/>
  <c r="E85" i="12"/>
  <c r="C85" i="12"/>
  <c r="E84" i="12"/>
  <c r="C84" i="12"/>
  <c r="E83" i="12"/>
  <c r="C83" i="12"/>
  <c r="E82" i="12"/>
  <c r="C82" i="12"/>
  <c r="E81" i="12"/>
  <c r="C81" i="12"/>
  <c r="E80" i="12"/>
  <c r="C80" i="12"/>
  <c r="E79" i="12"/>
  <c r="C79" i="12"/>
  <c r="E78" i="12"/>
  <c r="C78" i="12"/>
  <c r="E77" i="12"/>
  <c r="C77" i="12"/>
  <c r="E76" i="12"/>
  <c r="C76" i="12"/>
  <c r="E75" i="12"/>
  <c r="C75" i="12"/>
  <c r="E74" i="12"/>
  <c r="C74" i="12"/>
  <c r="E73" i="12"/>
  <c r="C73" i="12"/>
  <c r="E72" i="12"/>
  <c r="C72" i="12"/>
  <c r="E71" i="12"/>
  <c r="C71" i="12"/>
  <c r="E70" i="12"/>
  <c r="C70" i="12"/>
  <c r="E69" i="12"/>
  <c r="C69" i="12"/>
  <c r="E68" i="12"/>
  <c r="C68" i="12"/>
  <c r="E67" i="12"/>
  <c r="C67" i="12"/>
  <c r="E66" i="12"/>
  <c r="C66" i="12"/>
  <c r="E65" i="12"/>
  <c r="C65" i="12"/>
  <c r="E64" i="12"/>
  <c r="C64" i="12"/>
  <c r="E63" i="12"/>
  <c r="C63" i="12"/>
  <c r="E62" i="12"/>
  <c r="C62" i="12"/>
  <c r="E61" i="12"/>
  <c r="C61" i="12"/>
  <c r="E60" i="12"/>
  <c r="C60" i="12"/>
  <c r="E59" i="12"/>
  <c r="C59" i="12"/>
  <c r="E58" i="12"/>
  <c r="C58" i="12"/>
  <c r="E57" i="12"/>
  <c r="C57" i="12"/>
  <c r="E56" i="12"/>
  <c r="C56" i="12"/>
  <c r="E55" i="12"/>
  <c r="C55" i="12"/>
  <c r="E54" i="12"/>
  <c r="C54" i="12"/>
  <c r="E53" i="12"/>
  <c r="C53" i="12"/>
  <c r="E52" i="12"/>
  <c r="C52" i="12"/>
  <c r="E51" i="12"/>
  <c r="C51" i="12"/>
  <c r="E50" i="12"/>
  <c r="C50" i="12"/>
  <c r="E49" i="12"/>
  <c r="C49" i="12"/>
  <c r="E48" i="12"/>
  <c r="C48" i="12"/>
  <c r="E47" i="12"/>
  <c r="C47" i="12"/>
  <c r="E46" i="12"/>
  <c r="C46" i="12"/>
  <c r="E45" i="12"/>
  <c r="C45" i="12"/>
  <c r="E44" i="12"/>
  <c r="C44" i="12"/>
  <c r="E43" i="12"/>
  <c r="C43" i="12"/>
  <c r="E42" i="12"/>
  <c r="C42" i="12"/>
  <c r="E41" i="12"/>
  <c r="C41" i="12"/>
  <c r="E40" i="12"/>
  <c r="C40" i="12"/>
  <c r="E39" i="12"/>
  <c r="C39" i="12"/>
  <c r="E38" i="12"/>
  <c r="C38" i="12"/>
  <c r="E37" i="12"/>
  <c r="C37" i="12"/>
  <c r="E36" i="12"/>
  <c r="C36" i="12"/>
  <c r="E35" i="12"/>
  <c r="C35" i="12"/>
  <c r="E34" i="12"/>
  <c r="C34" i="12"/>
  <c r="E33" i="12"/>
  <c r="C33" i="12"/>
  <c r="E32" i="12"/>
  <c r="C32" i="12"/>
  <c r="E31" i="12"/>
  <c r="C31" i="12"/>
  <c r="E30" i="12"/>
  <c r="C30" i="12"/>
  <c r="E29" i="12"/>
  <c r="C29" i="12"/>
  <c r="E28" i="12"/>
  <c r="C28" i="12"/>
  <c r="E27" i="12"/>
  <c r="C27" i="12"/>
  <c r="E26" i="12"/>
  <c r="C26" i="12"/>
  <c r="E25" i="12"/>
  <c r="C25" i="12"/>
  <c r="E24" i="12"/>
  <c r="C24" i="12"/>
  <c r="E23" i="12"/>
  <c r="C23" i="12"/>
  <c r="E22" i="12"/>
  <c r="C22" i="12"/>
  <c r="E21" i="12"/>
  <c r="C21" i="12"/>
  <c r="E20" i="12"/>
  <c r="C20" i="12"/>
  <c r="E19" i="12"/>
  <c r="C19" i="12"/>
  <c r="E18" i="12"/>
  <c r="C18" i="12"/>
  <c r="E17" i="12"/>
  <c r="C17" i="12"/>
  <c r="E16" i="12"/>
  <c r="C16" i="12"/>
  <c r="E15" i="12"/>
  <c r="C15" i="12"/>
  <c r="E14" i="12"/>
  <c r="C14" i="12"/>
  <c r="E13" i="12"/>
  <c r="C13" i="12"/>
  <c r="E12" i="12"/>
  <c r="C12" i="12"/>
  <c r="E11" i="12"/>
  <c r="C11" i="12"/>
  <c r="E10" i="12"/>
  <c r="C10" i="12"/>
  <c r="E9" i="12"/>
  <c r="C9" i="12"/>
  <c r="E8" i="12"/>
  <c r="C8" i="12"/>
  <c r="E7" i="12"/>
  <c r="C7" i="12"/>
  <c r="E4" i="12"/>
  <c r="E5" i="12"/>
  <c r="E6" i="12"/>
  <c r="C6" i="12"/>
  <c r="C5" i="12"/>
  <c r="C4" i="12"/>
  <c r="A1" i="12"/>
  <c r="E102" i="11"/>
  <c r="C102" i="11"/>
  <c r="E101" i="11"/>
  <c r="C101" i="11"/>
  <c r="E100" i="11"/>
  <c r="C100" i="11"/>
  <c r="E99" i="11"/>
  <c r="C99" i="11"/>
  <c r="E98" i="11"/>
  <c r="C98" i="11"/>
  <c r="E97" i="11"/>
  <c r="C97" i="11"/>
  <c r="E96" i="11"/>
  <c r="C96" i="11"/>
  <c r="E95" i="11"/>
  <c r="C95" i="11"/>
  <c r="E94" i="11"/>
  <c r="C94" i="11"/>
  <c r="E93" i="11"/>
  <c r="C93" i="11"/>
  <c r="E92" i="11"/>
  <c r="C92" i="11"/>
  <c r="E91" i="11"/>
  <c r="C91" i="11"/>
  <c r="E90" i="11"/>
  <c r="C90" i="11"/>
  <c r="E89" i="11"/>
  <c r="C89" i="11"/>
  <c r="E88" i="11"/>
  <c r="C88" i="11"/>
  <c r="E87" i="11"/>
  <c r="C87" i="11"/>
  <c r="E86" i="11"/>
  <c r="C86" i="11"/>
  <c r="E85" i="11"/>
  <c r="C85" i="11"/>
  <c r="E84" i="11"/>
  <c r="C84" i="11"/>
  <c r="E83" i="11"/>
  <c r="C83" i="11"/>
  <c r="E82" i="11"/>
  <c r="C82" i="11"/>
  <c r="E81" i="11"/>
  <c r="C81" i="11"/>
  <c r="E80" i="11"/>
  <c r="C80" i="11"/>
  <c r="E79" i="11"/>
  <c r="C79" i="11"/>
  <c r="E78" i="11"/>
  <c r="C78" i="11"/>
  <c r="E77" i="11"/>
  <c r="C77" i="11"/>
  <c r="E76" i="11"/>
  <c r="C76" i="11"/>
  <c r="E75" i="11"/>
  <c r="C75" i="11"/>
  <c r="E74" i="11"/>
  <c r="C74" i="11"/>
  <c r="E73" i="11"/>
  <c r="C73" i="11"/>
  <c r="E72" i="11"/>
  <c r="C72" i="11"/>
  <c r="E71" i="11"/>
  <c r="C71" i="11"/>
  <c r="E70" i="11"/>
  <c r="C70" i="11"/>
  <c r="E69" i="11"/>
  <c r="C69" i="11"/>
  <c r="E68" i="11"/>
  <c r="C68" i="11"/>
  <c r="E67" i="11"/>
  <c r="C67" i="11"/>
  <c r="E66" i="11"/>
  <c r="C66" i="11"/>
  <c r="E65" i="11"/>
  <c r="C65" i="11"/>
  <c r="E64" i="11"/>
  <c r="C64" i="11"/>
  <c r="E63" i="11"/>
  <c r="C63" i="11"/>
  <c r="E62" i="11"/>
  <c r="C62" i="11"/>
  <c r="E61" i="11"/>
  <c r="C61" i="11"/>
  <c r="E60" i="11"/>
  <c r="C60" i="11"/>
  <c r="E59" i="11"/>
  <c r="C59" i="11"/>
  <c r="E58" i="11"/>
  <c r="C58" i="11"/>
  <c r="E57" i="11"/>
  <c r="C57" i="11"/>
  <c r="E56" i="11"/>
  <c r="C56" i="11"/>
  <c r="E55" i="11"/>
  <c r="C55" i="11"/>
  <c r="E54" i="11"/>
  <c r="C54" i="11"/>
  <c r="E53" i="11"/>
  <c r="C53" i="11"/>
  <c r="E52" i="11"/>
  <c r="C52" i="11"/>
  <c r="E51" i="11"/>
  <c r="C51" i="11"/>
  <c r="E50" i="11"/>
  <c r="C50" i="11"/>
  <c r="E49" i="11"/>
  <c r="C49" i="11"/>
  <c r="E48" i="11"/>
  <c r="C48" i="11"/>
  <c r="E47" i="11"/>
  <c r="C47" i="11"/>
  <c r="E46" i="11"/>
  <c r="C46" i="11"/>
  <c r="E45" i="11"/>
  <c r="C45" i="11"/>
  <c r="E44" i="11"/>
  <c r="C44" i="11"/>
  <c r="E43" i="11"/>
  <c r="C43" i="11"/>
  <c r="E42" i="11"/>
  <c r="C42" i="11"/>
  <c r="E41" i="11"/>
  <c r="C41" i="11"/>
  <c r="E40" i="11"/>
  <c r="C40" i="11"/>
  <c r="E39" i="11"/>
  <c r="C39" i="11"/>
  <c r="E38" i="11"/>
  <c r="C38" i="11"/>
  <c r="E37" i="11"/>
  <c r="C37" i="11"/>
  <c r="E36" i="11"/>
  <c r="C36" i="11"/>
  <c r="E35" i="11"/>
  <c r="C35" i="11"/>
  <c r="E34" i="11"/>
  <c r="C34" i="11"/>
  <c r="E33" i="11"/>
  <c r="C33" i="11"/>
  <c r="E32" i="11"/>
  <c r="C32" i="11"/>
  <c r="E31" i="11"/>
  <c r="C31" i="11"/>
  <c r="E30" i="11"/>
  <c r="C30" i="11"/>
  <c r="E29" i="11"/>
  <c r="C29" i="11"/>
  <c r="E28" i="11"/>
  <c r="C28" i="11"/>
  <c r="E27" i="11"/>
  <c r="C27" i="11"/>
  <c r="E26" i="11"/>
  <c r="C26" i="11"/>
  <c r="E25" i="11"/>
  <c r="C25" i="11"/>
  <c r="E24" i="11"/>
  <c r="C24" i="11"/>
  <c r="E23" i="11"/>
  <c r="C23" i="11"/>
  <c r="E22" i="11"/>
  <c r="C22" i="11"/>
  <c r="E21" i="11"/>
  <c r="C21" i="11"/>
  <c r="E20" i="11"/>
  <c r="C20" i="11"/>
  <c r="E19" i="11"/>
  <c r="C19" i="11"/>
  <c r="E18" i="11"/>
  <c r="C18" i="11"/>
  <c r="E17" i="11"/>
  <c r="C17" i="11"/>
  <c r="E16" i="11"/>
  <c r="C16" i="11"/>
  <c r="E15" i="11"/>
  <c r="C15" i="11"/>
  <c r="E14" i="11"/>
  <c r="C14" i="11"/>
  <c r="E13" i="11"/>
  <c r="C13" i="11"/>
  <c r="E4" i="11"/>
  <c r="E5" i="11"/>
  <c r="E6" i="11"/>
  <c r="E7" i="11"/>
  <c r="E8" i="11"/>
  <c r="E9" i="11"/>
  <c r="E10" i="11"/>
  <c r="E11" i="11"/>
  <c r="E12" i="11"/>
  <c r="C12" i="11"/>
  <c r="C11" i="11"/>
  <c r="C10" i="11"/>
  <c r="C9" i="11"/>
  <c r="C8" i="11"/>
  <c r="C7" i="11"/>
  <c r="C6" i="11"/>
  <c r="C5" i="11"/>
  <c r="C4" i="11"/>
  <c r="A1" i="11"/>
  <c r="D11" i="3"/>
  <c r="C11" i="3"/>
  <c r="C10" i="3"/>
  <c r="D10" i="3" a="1"/>
  <c r="D10" i="3"/>
  <c r="E102" i="10"/>
  <c r="C102" i="10"/>
  <c r="E101" i="10"/>
  <c r="C101" i="10"/>
  <c r="E100" i="10"/>
  <c r="C100" i="10"/>
  <c r="E99" i="10"/>
  <c r="C99" i="10"/>
  <c r="E98" i="10"/>
  <c r="C98" i="10"/>
  <c r="E97" i="10"/>
  <c r="C97" i="10"/>
  <c r="E96" i="10"/>
  <c r="C96" i="10"/>
  <c r="E95" i="10"/>
  <c r="C95" i="10"/>
  <c r="E94" i="10"/>
  <c r="C94" i="10"/>
  <c r="E93" i="10"/>
  <c r="C93" i="10"/>
  <c r="E92" i="10"/>
  <c r="C92" i="10"/>
  <c r="E91" i="10"/>
  <c r="C91" i="10"/>
  <c r="E90" i="10"/>
  <c r="C90" i="10"/>
  <c r="E89" i="10"/>
  <c r="C89" i="10"/>
  <c r="E88" i="10"/>
  <c r="C88" i="10"/>
  <c r="E87" i="10"/>
  <c r="C87" i="10"/>
  <c r="E86" i="10"/>
  <c r="C86" i="10"/>
  <c r="E85" i="10"/>
  <c r="C85" i="10"/>
  <c r="E84" i="10"/>
  <c r="C84" i="10"/>
  <c r="E83" i="10"/>
  <c r="C83" i="10"/>
  <c r="E82" i="10"/>
  <c r="C82" i="10"/>
  <c r="E81" i="10"/>
  <c r="C81" i="10"/>
  <c r="E80" i="10"/>
  <c r="C80" i="10"/>
  <c r="E79" i="10"/>
  <c r="C79" i="10"/>
  <c r="E78" i="10"/>
  <c r="C78" i="10"/>
  <c r="E77" i="10"/>
  <c r="C77" i="10"/>
  <c r="E76" i="10"/>
  <c r="C76" i="10"/>
  <c r="E75" i="10"/>
  <c r="C75" i="10"/>
  <c r="E74" i="10"/>
  <c r="C74" i="10"/>
  <c r="E73" i="10"/>
  <c r="C73" i="10"/>
  <c r="E72" i="10"/>
  <c r="C72" i="10"/>
  <c r="E71" i="10"/>
  <c r="C71" i="10"/>
  <c r="E70" i="10"/>
  <c r="C70" i="10"/>
  <c r="E69" i="10"/>
  <c r="C69" i="10"/>
  <c r="E68" i="10"/>
  <c r="C68" i="10"/>
  <c r="E67" i="10"/>
  <c r="C67" i="10"/>
  <c r="E66" i="10"/>
  <c r="C66" i="10"/>
  <c r="E65" i="10"/>
  <c r="C65" i="10"/>
  <c r="E64" i="10"/>
  <c r="C64" i="10"/>
  <c r="E63" i="10"/>
  <c r="C63" i="10"/>
  <c r="E62" i="10"/>
  <c r="C62" i="10"/>
  <c r="E61" i="10"/>
  <c r="C61" i="10"/>
  <c r="E60" i="10"/>
  <c r="C60" i="10"/>
  <c r="E59" i="10"/>
  <c r="C59" i="10"/>
  <c r="E58" i="10"/>
  <c r="C58" i="10"/>
  <c r="E57" i="10"/>
  <c r="C57" i="10"/>
  <c r="E56" i="10"/>
  <c r="C56" i="10"/>
  <c r="E55" i="10"/>
  <c r="C55" i="10"/>
  <c r="E54" i="10"/>
  <c r="C54" i="10"/>
  <c r="E53" i="10"/>
  <c r="C53" i="10"/>
  <c r="E52" i="10"/>
  <c r="C52" i="10"/>
  <c r="E51" i="10"/>
  <c r="C51" i="10"/>
  <c r="E50" i="10"/>
  <c r="C50" i="10"/>
  <c r="E49" i="10"/>
  <c r="C49" i="10"/>
  <c r="E48" i="10"/>
  <c r="C48" i="10"/>
  <c r="E47" i="10"/>
  <c r="C47" i="10"/>
  <c r="E46" i="10"/>
  <c r="C46" i="10"/>
  <c r="E45" i="10"/>
  <c r="C45" i="10"/>
  <c r="E44" i="10"/>
  <c r="C44" i="10"/>
  <c r="E43" i="10"/>
  <c r="C43" i="10"/>
  <c r="E42" i="10"/>
  <c r="C42" i="10"/>
  <c r="E41" i="10"/>
  <c r="C41" i="10"/>
  <c r="E40" i="10"/>
  <c r="C40" i="10"/>
  <c r="E39" i="10"/>
  <c r="C39" i="10"/>
  <c r="E38" i="10"/>
  <c r="C38" i="10"/>
  <c r="E37" i="10"/>
  <c r="C37" i="10"/>
  <c r="E36" i="10"/>
  <c r="C36" i="10"/>
  <c r="E35" i="10"/>
  <c r="C35" i="10"/>
  <c r="E34" i="10"/>
  <c r="C34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A1" i="10"/>
  <c r="E102" i="9"/>
  <c r="C102" i="9"/>
  <c r="E101" i="9"/>
  <c r="C101" i="9"/>
  <c r="E100" i="9"/>
  <c r="C100" i="9"/>
  <c r="E99" i="9"/>
  <c r="C99" i="9"/>
  <c r="E98" i="9"/>
  <c r="C98" i="9"/>
  <c r="E97" i="9"/>
  <c r="C97" i="9"/>
  <c r="E96" i="9"/>
  <c r="C96" i="9"/>
  <c r="E95" i="9"/>
  <c r="C95" i="9"/>
  <c r="E94" i="9"/>
  <c r="C94" i="9"/>
  <c r="E93" i="9"/>
  <c r="C93" i="9"/>
  <c r="E92" i="9"/>
  <c r="C92" i="9"/>
  <c r="E91" i="9"/>
  <c r="C91" i="9"/>
  <c r="E90" i="9"/>
  <c r="C90" i="9"/>
  <c r="E89" i="9"/>
  <c r="C89" i="9"/>
  <c r="E88" i="9"/>
  <c r="C88" i="9"/>
  <c r="E87" i="9"/>
  <c r="C87" i="9"/>
  <c r="E86" i="9"/>
  <c r="C86" i="9"/>
  <c r="E85" i="9"/>
  <c r="C85" i="9"/>
  <c r="E84" i="9"/>
  <c r="C84" i="9"/>
  <c r="E83" i="9"/>
  <c r="C83" i="9"/>
  <c r="E82" i="9"/>
  <c r="C82" i="9"/>
  <c r="E81" i="9"/>
  <c r="C81" i="9"/>
  <c r="E80" i="9"/>
  <c r="C80" i="9"/>
  <c r="E79" i="9"/>
  <c r="C79" i="9"/>
  <c r="E78" i="9"/>
  <c r="C78" i="9"/>
  <c r="E77" i="9"/>
  <c r="C77" i="9"/>
  <c r="E76" i="9"/>
  <c r="C76" i="9"/>
  <c r="E75" i="9"/>
  <c r="C75" i="9"/>
  <c r="E74" i="9"/>
  <c r="C74" i="9"/>
  <c r="E73" i="9"/>
  <c r="C73" i="9"/>
  <c r="E72" i="9"/>
  <c r="C72" i="9"/>
  <c r="E71" i="9"/>
  <c r="C71" i="9"/>
  <c r="E70" i="9"/>
  <c r="C70" i="9"/>
  <c r="E69" i="9"/>
  <c r="C69" i="9"/>
  <c r="E68" i="9"/>
  <c r="C68" i="9"/>
  <c r="E67" i="9"/>
  <c r="C67" i="9"/>
  <c r="E66" i="9"/>
  <c r="C66" i="9"/>
  <c r="E65" i="9"/>
  <c r="C65" i="9"/>
  <c r="E64" i="9"/>
  <c r="C64" i="9"/>
  <c r="E63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8" i="9"/>
  <c r="C48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8" i="9"/>
  <c r="C38" i="9"/>
  <c r="E37" i="9"/>
  <c r="C37" i="9"/>
  <c r="E36" i="9"/>
  <c r="C36" i="9"/>
  <c r="E35" i="9"/>
  <c r="C35" i="9"/>
  <c r="E34" i="9"/>
  <c r="C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4" i="9"/>
  <c r="E5" i="9"/>
  <c r="C5" i="9"/>
  <c r="C4" i="9"/>
  <c r="A1" i="9"/>
  <c r="E102" i="8"/>
  <c r="C102" i="8"/>
  <c r="E101" i="8"/>
  <c r="C101" i="8"/>
  <c r="E100" i="8"/>
  <c r="C100" i="8"/>
  <c r="E99" i="8"/>
  <c r="C99" i="8"/>
  <c r="E98" i="8"/>
  <c r="C98" i="8"/>
  <c r="E97" i="8"/>
  <c r="C97" i="8"/>
  <c r="E96" i="8"/>
  <c r="C96" i="8"/>
  <c r="E95" i="8"/>
  <c r="C95" i="8"/>
  <c r="E94" i="8"/>
  <c r="C94" i="8"/>
  <c r="E93" i="8"/>
  <c r="C93" i="8"/>
  <c r="E92" i="8"/>
  <c r="C92" i="8"/>
  <c r="E91" i="8"/>
  <c r="C91" i="8"/>
  <c r="E90" i="8"/>
  <c r="C90" i="8"/>
  <c r="E89" i="8"/>
  <c r="C89" i="8"/>
  <c r="E88" i="8"/>
  <c r="C88" i="8"/>
  <c r="E87" i="8"/>
  <c r="C87" i="8"/>
  <c r="E86" i="8"/>
  <c r="C86" i="8"/>
  <c r="E85" i="8"/>
  <c r="C85" i="8"/>
  <c r="E84" i="8"/>
  <c r="C84" i="8"/>
  <c r="E83" i="8"/>
  <c r="C83" i="8"/>
  <c r="E82" i="8"/>
  <c r="C82" i="8"/>
  <c r="E81" i="8"/>
  <c r="C81" i="8"/>
  <c r="E80" i="8"/>
  <c r="C80" i="8"/>
  <c r="E79" i="8"/>
  <c r="C79" i="8"/>
  <c r="E78" i="8"/>
  <c r="C78" i="8"/>
  <c r="E77" i="8"/>
  <c r="C77" i="8"/>
  <c r="E76" i="8"/>
  <c r="C76" i="8"/>
  <c r="E75" i="8"/>
  <c r="C75" i="8"/>
  <c r="E74" i="8"/>
  <c r="C74" i="8"/>
  <c r="E73" i="8"/>
  <c r="C73" i="8"/>
  <c r="E72" i="8"/>
  <c r="C72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C15" i="8"/>
  <c r="C14" i="8"/>
  <c r="C13" i="8"/>
  <c r="C12" i="8"/>
  <c r="C11" i="8"/>
  <c r="C10" i="8"/>
  <c r="C9" i="8"/>
  <c r="C8" i="8"/>
  <c r="C7" i="8"/>
  <c r="C6" i="8"/>
  <c r="C5" i="8"/>
  <c r="E4" i="8"/>
  <c r="C4" i="8"/>
  <c r="A1" i="8"/>
  <c r="D9" i="3" a="1"/>
  <c r="D9" i="3"/>
  <c r="C9" i="3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C84" i="7"/>
  <c r="E83" i="7"/>
  <c r="C83" i="7"/>
  <c r="E82" i="7"/>
  <c r="C82" i="7"/>
  <c r="E81" i="7"/>
  <c r="C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E4" i="7"/>
  <c r="C4" i="7"/>
  <c r="A1" i="7"/>
  <c r="D8" i="3" a="1"/>
  <c r="D8" i="3"/>
  <c r="C8" i="3"/>
  <c r="E102" i="6"/>
  <c r="C102" i="6"/>
  <c r="E101" i="6"/>
  <c r="C101" i="6"/>
  <c r="E100" i="6"/>
  <c r="C100" i="6"/>
  <c r="E99" i="6"/>
  <c r="C99" i="6"/>
  <c r="E98" i="6"/>
  <c r="C98" i="6"/>
  <c r="E97" i="6"/>
  <c r="C97" i="6"/>
  <c r="E96" i="6"/>
  <c r="C96" i="6"/>
  <c r="E95" i="6"/>
  <c r="C95" i="6"/>
  <c r="E94" i="6"/>
  <c r="C94" i="6"/>
  <c r="E93" i="6"/>
  <c r="C93" i="6"/>
  <c r="E92" i="6"/>
  <c r="C92" i="6"/>
  <c r="E91" i="6"/>
  <c r="C91" i="6"/>
  <c r="E90" i="6"/>
  <c r="C90" i="6"/>
  <c r="E89" i="6"/>
  <c r="C89" i="6"/>
  <c r="E88" i="6"/>
  <c r="C88" i="6"/>
  <c r="E87" i="6"/>
  <c r="C87" i="6"/>
  <c r="E86" i="6"/>
  <c r="C86" i="6"/>
  <c r="E85" i="6"/>
  <c r="C85" i="6"/>
  <c r="E84" i="6"/>
  <c r="C84" i="6"/>
  <c r="E83" i="6"/>
  <c r="C83" i="6"/>
  <c r="E82" i="6"/>
  <c r="C82" i="6"/>
  <c r="E81" i="6"/>
  <c r="C81" i="6"/>
  <c r="E80" i="6"/>
  <c r="C80" i="6"/>
  <c r="E79" i="6"/>
  <c r="C79" i="6"/>
  <c r="E78" i="6"/>
  <c r="C78" i="6"/>
  <c r="E77" i="6"/>
  <c r="C77" i="6"/>
  <c r="E76" i="6"/>
  <c r="C76" i="6"/>
  <c r="E75" i="6"/>
  <c r="C75" i="6"/>
  <c r="E74" i="6"/>
  <c r="C74" i="6"/>
  <c r="E73" i="6"/>
  <c r="C73" i="6"/>
  <c r="E72" i="6"/>
  <c r="C72" i="6"/>
  <c r="E71" i="6"/>
  <c r="C71" i="6"/>
  <c r="E70" i="6"/>
  <c r="C70" i="6"/>
  <c r="E69" i="6"/>
  <c r="C69" i="6"/>
  <c r="E68" i="6"/>
  <c r="C68" i="6"/>
  <c r="E67" i="6"/>
  <c r="C67" i="6"/>
  <c r="E66" i="6"/>
  <c r="C66" i="6"/>
  <c r="E65" i="6"/>
  <c r="C65" i="6"/>
  <c r="E64" i="6"/>
  <c r="C64" i="6"/>
  <c r="E63" i="6"/>
  <c r="C63" i="6"/>
  <c r="E62" i="6"/>
  <c r="C62" i="6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E4" i="6"/>
  <c r="C4" i="6"/>
  <c r="E65" i="1"/>
  <c r="E66" i="1"/>
  <c r="E67" i="1"/>
  <c r="E68" i="1"/>
  <c r="E4" i="1"/>
  <c r="E5" i="1"/>
  <c r="E6" i="1"/>
  <c r="E7" i="1"/>
  <c r="E8" i="1"/>
  <c r="E9" i="1"/>
  <c r="E10" i="1"/>
  <c r="E11" i="1"/>
  <c r="E12" i="1"/>
  <c r="D13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4" i="3" a="1"/>
  <c r="E4" i="3"/>
  <c r="D7" i="3" a="1"/>
  <c r="D7" i="3"/>
  <c r="D6" i="3" a="1"/>
  <c r="D6" i="3"/>
  <c r="D5" i="3" a="1"/>
  <c r="D5" i="3"/>
  <c r="D4" i="3" a="1"/>
  <c r="D4" i="3"/>
  <c r="C7" i="3"/>
  <c r="E102" i="5"/>
  <c r="C102" i="5"/>
  <c r="E101" i="5"/>
  <c r="C101" i="5"/>
  <c r="E100" i="5"/>
  <c r="C100" i="5"/>
  <c r="E99" i="5"/>
  <c r="C99" i="5"/>
  <c r="E98" i="5"/>
  <c r="C98" i="5"/>
  <c r="E97" i="5"/>
  <c r="C97" i="5"/>
  <c r="E96" i="5"/>
  <c r="C96" i="5"/>
  <c r="E95" i="5"/>
  <c r="C95" i="5"/>
  <c r="E94" i="5"/>
  <c r="C94" i="5"/>
  <c r="E93" i="5"/>
  <c r="C93" i="5"/>
  <c r="E92" i="5"/>
  <c r="C92" i="5"/>
  <c r="E91" i="5"/>
  <c r="C91" i="5"/>
  <c r="E90" i="5"/>
  <c r="C90" i="5"/>
  <c r="E89" i="5"/>
  <c r="C89" i="5"/>
  <c r="E88" i="5"/>
  <c r="C88" i="5"/>
  <c r="E87" i="5"/>
  <c r="C87" i="5"/>
  <c r="E86" i="5"/>
  <c r="C86" i="5"/>
  <c r="E85" i="5"/>
  <c r="C85" i="5"/>
  <c r="E84" i="5"/>
  <c r="C84" i="5"/>
  <c r="E83" i="5"/>
  <c r="C83" i="5"/>
  <c r="E82" i="5"/>
  <c r="C82" i="5"/>
  <c r="E81" i="5"/>
  <c r="C81" i="5"/>
  <c r="E80" i="5"/>
  <c r="C80" i="5"/>
  <c r="E79" i="5"/>
  <c r="C79" i="5"/>
  <c r="E78" i="5"/>
  <c r="C78" i="5"/>
  <c r="E77" i="5"/>
  <c r="C77" i="5"/>
  <c r="E76" i="5"/>
  <c r="C76" i="5"/>
  <c r="E75" i="5"/>
  <c r="C75" i="5"/>
  <c r="E74" i="5"/>
  <c r="C74" i="5"/>
  <c r="E73" i="5"/>
  <c r="C73" i="5"/>
  <c r="E72" i="5"/>
  <c r="C72" i="5"/>
  <c r="E71" i="5"/>
  <c r="C71" i="5"/>
  <c r="E70" i="5"/>
  <c r="C70" i="5"/>
  <c r="E69" i="5"/>
  <c r="C69" i="5"/>
  <c r="E68" i="5"/>
  <c r="C68" i="5"/>
  <c r="E67" i="5"/>
  <c r="C67" i="5"/>
  <c r="E66" i="5"/>
  <c r="C66" i="5"/>
  <c r="E65" i="5"/>
  <c r="C65" i="5"/>
  <c r="E64" i="5"/>
  <c r="C64" i="5"/>
  <c r="E63" i="5"/>
  <c r="C63" i="5"/>
  <c r="E62" i="5"/>
  <c r="C62" i="5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E4" i="5"/>
  <c r="E5" i="5"/>
  <c r="C4" i="5"/>
  <c r="A1" i="5"/>
  <c r="C6" i="3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E4" i="2"/>
  <c r="E5" i="2"/>
  <c r="C4" i="2"/>
  <c r="A1" i="2"/>
  <c r="C5" i="3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4" i="4"/>
  <c r="C84" i="4"/>
  <c r="E83" i="4"/>
  <c r="C83" i="4"/>
  <c r="E82" i="4"/>
  <c r="C82" i="4"/>
  <c r="E81" i="4"/>
  <c r="C81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A1" i="4"/>
  <c r="C4" i="3"/>
  <c r="A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4" i="1"/>
  <c r="E5" i="8"/>
  <c r="E5" i="7"/>
  <c r="E6" i="8"/>
  <c r="E6" i="7"/>
  <c r="E7" i="8"/>
  <c r="E7" i="7"/>
  <c r="E8" i="7"/>
  <c r="E8" i="8"/>
  <c r="E9" i="8"/>
  <c r="E9" i="7"/>
  <c r="E11" i="8"/>
  <c r="E10" i="8"/>
  <c r="E10" i="7"/>
  <c r="E11" i="7"/>
  <c r="E12" i="8"/>
  <c r="E13" i="8"/>
  <c r="E14" i="8"/>
  <c r="E15" i="8"/>
  <c r="E10" i="3" a="1"/>
  <c r="E10" i="3"/>
  <c r="E12" i="7"/>
  <c r="E13" i="7"/>
  <c r="E14" i="7"/>
  <c r="E15" i="7"/>
  <c r="E16" i="7"/>
  <c r="E17" i="7"/>
  <c r="E18" i="7"/>
  <c r="E16" i="2"/>
  <c r="E19" i="7"/>
  <c r="E9" i="3" a="1"/>
  <c r="E9" i="3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17" i="2"/>
  <c r="E18" i="2"/>
  <c r="E19" i="2"/>
  <c r="E20" i="2"/>
  <c r="E21" i="2"/>
  <c r="E22" i="2"/>
  <c r="E23" i="2"/>
  <c r="E24" i="2"/>
  <c r="E25" i="2"/>
  <c r="E26" i="2"/>
  <c r="E27" i="2"/>
  <c r="E28" i="2"/>
  <c r="E6" i="5"/>
  <c r="E7" i="5"/>
  <c r="E6" i="2"/>
  <c r="E7" i="2"/>
  <c r="E17" i="3"/>
  <c r="E16" i="3"/>
  <c r="E15" i="3"/>
  <c r="E14" i="3"/>
  <c r="E13" i="3"/>
  <c r="E12" i="3"/>
  <c r="E11" i="3"/>
  <c r="E8" i="5"/>
  <c r="E8" i="2"/>
  <c r="E9" i="5"/>
  <c r="E9" i="2"/>
  <c r="E10" i="5"/>
  <c r="E11" i="5"/>
  <c r="E10" i="2"/>
  <c r="E11" i="2"/>
  <c r="E12" i="5"/>
  <c r="E12" i="2"/>
  <c r="E13" i="2"/>
  <c r="E14" i="2"/>
  <c r="E13" i="5"/>
  <c r="E14" i="5"/>
  <c r="E15" i="2"/>
  <c r="E6" i="3" a="1"/>
  <c r="E6" i="3"/>
  <c r="E15" i="5"/>
  <c r="E16" i="5"/>
  <c r="E17" i="5"/>
  <c r="E8" i="3" a="1"/>
  <c r="E8" i="3"/>
  <c r="E18" i="5"/>
  <c r="E19" i="5"/>
  <c r="E20" i="5"/>
  <c r="E21" i="5"/>
  <c r="E22" i="5"/>
  <c r="E7" i="3" a="1"/>
  <c r="E7" i="3"/>
  <c r="E5" i="3" a="1"/>
  <c r="E5" i="3"/>
  <c r="I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<sst xmlns="http://schemas.openxmlformats.org/spreadsheetml/2006/main" count="203" uniqueCount="58">
  <si>
    <t>Date</t>
  </si>
  <si>
    <t>Product</t>
  </si>
  <si>
    <t>Total</t>
  </si>
  <si>
    <t>Deu</t>
  </si>
  <si>
    <t>Deposite</t>
  </si>
  <si>
    <t>Name</t>
  </si>
  <si>
    <t>Last Collection</t>
  </si>
  <si>
    <t>Total Deu Summary</t>
  </si>
  <si>
    <t>Total Cedit</t>
  </si>
  <si>
    <t>Moumita Electonics</t>
  </si>
  <si>
    <t>Fatema Induction-1P</t>
  </si>
  <si>
    <t>05.11.25 SS plate Adjust-400/-</t>
  </si>
  <si>
    <t>Razapur Crockery</t>
  </si>
  <si>
    <t>17.09.25 Adjust-76/-</t>
  </si>
  <si>
    <t>Kabir Enterprise</t>
  </si>
  <si>
    <t>Miya Electric</t>
  </si>
  <si>
    <t>Rafid Crockery</t>
  </si>
  <si>
    <t>Fatema Electric</t>
  </si>
  <si>
    <t>ASM Discount-200/-</t>
  </si>
  <si>
    <t>1.8 SS K/Y Adjust-1300/-</t>
  </si>
  <si>
    <t>Badhon Electric</t>
  </si>
  <si>
    <t>Bhandaria</t>
  </si>
  <si>
    <t>Market</t>
  </si>
  <si>
    <t>Grand Total</t>
  </si>
  <si>
    <t>Alam Plastic</t>
  </si>
  <si>
    <t>Pak Azad</t>
  </si>
  <si>
    <t>Bkash Dada</t>
  </si>
  <si>
    <t>Mathbaria</t>
  </si>
  <si>
    <t>Himel Electric</t>
  </si>
  <si>
    <t>Bhai Bhai Plastic</t>
  </si>
  <si>
    <t>Akon Crockery</t>
  </si>
  <si>
    <t>Modina Store</t>
  </si>
  <si>
    <t>Pizza Pan Adjust-2000/-</t>
  </si>
  <si>
    <t>29.12.25 K/Y-PL1.8*9P</t>
  </si>
  <si>
    <t>Outlate</t>
  </si>
  <si>
    <t>Market wise Deu</t>
  </si>
  <si>
    <t>Digital Alu.</t>
  </si>
  <si>
    <t xml:space="preserve"> </t>
  </si>
  <si>
    <t>Talukder Crockery</t>
  </si>
  <si>
    <t>Return 2.2SS K/Y-3P</t>
  </si>
  <si>
    <t>Zianagar</t>
  </si>
  <si>
    <t>Khan Store</t>
  </si>
  <si>
    <t>Toukir Adjust-100/-</t>
  </si>
  <si>
    <t>Naim Electric</t>
  </si>
  <si>
    <t>Hasan Electric</t>
  </si>
  <si>
    <t>Rafiq Electric</t>
  </si>
  <si>
    <t>Ebrahim Store</t>
  </si>
  <si>
    <t>Rafiq Alu.</t>
  </si>
  <si>
    <t>Return Induction-1P</t>
  </si>
  <si>
    <t>Maisha Electric</t>
  </si>
  <si>
    <t>BKash Dada</t>
  </si>
  <si>
    <t xml:space="preserve"> 25/mar/26</t>
  </si>
  <si>
    <t>Dada</t>
  </si>
  <si>
    <t xml:space="preserve">Bkash </t>
  </si>
  <si>
    <t>Nagad</t>
  </si>
  <si>
    <t>ASM</t>
  </si>
  <si>
    <t xml:space="preserve">bkash </t>
  </si>
  <si>
    <t>Brack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</si>
</sst>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/m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Bahnschrift SemiBold"/>
      <family val="2"/>
    </font>
    <font>
      <b/>
      <sz val="26"/>
      <color theme="1"/>
      <name val="Calibri"/>
      <family val="2"/>
      <scheme val="minor"/>
    </font>
    <font>
      <b/>
      <sz val="26"/>
      <color theme="1"/>
      <name val="Lucida Console"/>
      <family val="3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0" xfId="0" applyFont="1" applyAlignment="1">
      <alignment horizontal="center" vertical="center"/>
    </xf>
    <xf numFmtId="0" fontId="9" fillId="0" borderId="0" xfId="2" applyFont="1"/>
    <xf numFmtId="164" fontId="0" fillId="0" borderId="0" xfId="0" applyNumberFormat="1"/>
    <xf numFmtId="0" fontId="10" fillId="0" borderId="0" xfId="0" applyFont="1"/>
    <xf numFmtId="0" fontId="0" fillId="0" borderId="6" xfId="0" applyNumberFormat="1" applyBorder="1" applyAlignment="1">
      <alignment horizontal="center" vertical="center"/>
    </xf>
    <xf numFmtId="0" fontId="7" fillId="0" borderId="0" xfId="1" applyNumberFormat="1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15" fontId="0" fillId="0" borderId="0" xfId="0" applyNumberFormat="1"/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8" fillId="0" borderId="0" xfId="2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167.660822916667" createdVersion="7" refreshedVersion="8" minRefreshableVersion="3" recordCount="26" xr:uid="{81FBD12B-FE61-4960-B4EC-6EE6664F2096}">
  <cacheSource type="worksheet">
    <worksheetSource ref="B3:E100" sheet="Home"/>
  </cacheSource>
  <cacheFields count="4">
    <cacheField name="Market" numFmtId="0">
      <sharedItems containsBlank="1" count="4">
        <s v="Bhandaria"/>
        <s v="Mathbaria"/>
        <s v="Zianagar"/>
        <m/>
      </sharedItems>
    </cacheField>
    <cacheField name="Name" numFmtId="0">
      <sharedItems containsBlank="1"/>
    </cacheField>
    <cacheField name="Last Collection" numFmtId="0">
      <sharedItems containsString="0" containsBlank="1" containsNumber="1" containsInteger="1" minValue="500" maxValue="60000"/>
    </cacheField>
    <cacheField name="Deu" numFmtId="0">
      <sharedItems containsString="0" containsBlank="1" containsNumber="1" containsInteger="1" minValue="0" maxValue="2714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Moumita"/>
    <n v="30000"/>
    <n v="271438"/>
  </r>
  <r>
    <x v="0"/>
    <s v="Razapur"/>
    <n v="5000"/>
    <n v="31878"/>
  </r>
  <r>
    <x v="0"/>
    <s v="Kabir"/>
    <n v="2000"/>
    <n v="26116"/>
  </r>
  <r>
    <x v="0"/>
    <s v="Miya"/>
    <n v="3000"/>
    <n v="32574"/>
  </r>
  <r>
    <x v="0"/>
    <s v="Rafid"/>
    <n v="2441"/>
    <n v="22000"/>
  </r>
  <r>
    <x v="0"/>
    <s v="Fatema"/>
    <n v="60000"/>
    <n v="79897"/>
  </r>
  <r>
    <x v="0"/>
    <s v="Badhon"/>
    <n v="45800"/>
    <n v="0"/>
  </r>
  <r>
    <x v="0"/>
    <s v="Alam"/>
    <n v="1680"/>
    <n v="5732"/>
  </r>
  <r>
    <x v="1"/>
    <s v="PakAzad"/>
    <n v="8000"/>
    <n v="71616"/>
  </r>
  <r>
    <x v="1"/>
    <s v="Himel"/>
    <n v="5000"/>
    <n v="1022"/>
  </r>
  <r>
    <x v="1"/>
    <s v="BhaiBhai"/>
    <n v="3000"/>
    <n v="3450"/>
  </r>
  <r>
    <x v="1"/>
    <s v="Akon"/>
    <n v="6000"/>
    <n v="30000"/>
  </r>
  <r>
    <x v="1"/>
    <s v="Modina"/>
    <n v="10000"/>
    <n v="90945"/>
  </r>
  <r>
    <x v="1"/>
    <s v="Digital"/>
    <n v="5000"/>
    <n v="73538"/>
  </r>
  <r>
    <x v="2"/>
    <s v="Talukder"/>
    <n v="500"/>
    <n v="7500"/>
  </r>
  <r>
    <x v="2"/>
    <s v="Khan"/>
    <n v="1000"/>
    <n v="5395"/>
  </r>
  <r>
    <x v="2"/>
    <s v="Naim"/>
    <n v="1400"/>
    <n v="10400"/>
  </r>
  <r>
    <x v="2"/>
    <s v="Hasan"/>
    <n v="2000"/>
    <n v="3600"/>
  </r>
  <r>
    <x v="2"/>
    <s v="RafiqZ"/>
    <n v="530"/>
    <n v="0"/>
  </r>
  <r>
    <x v="2"/>
    <s v="Ebrahim"/>
    <n v="1040"/>
    <n v="0"/>
  </r>
  <r>
    <x v="2"/>
    <s v="RafiqB"/>
    <n v="2000"/>
    <n v="14360"/>
  </r>
  <r>
    <x v="2"/>
    <s v="Maisha"/>
    <n v="5000"/>
    <n v="141769"/>
  </r>
  <r>
    <x v="3"/>
    <m/>
    <m/>
    <m/>
  </r>
  <r>
    <x v="3"/>
    <m/>
    <m/>
    <m/>
  </r>
  <r>
    <x v="3"/>
    <m/>
    <m/>
    <m/>
  </r>
  <r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10950-1AA3-4063-A0F5-916F68E1B0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Market">
  <location ref="I10:K14" firstHeaderRow="0" firstDataRow="1" firstDataCol="1"/>
  <pivotFields count="4">
    <pivotField axis="axisRow" showAll="0">
      <items count="5">
        <item x="0"/>
        <item h="1" sd="0" x="3"/>
        <item x="1"/>
        <item x="2"/>
        <item t="default"/>
      </items>
    </pivotField>
    <pivotField dataField="1" showAll="0" sumSubtotal="1"/>
    <pivotField showAll="0"/>
    <pivotField dataField="1" showAll="0"/>
  </pivotFields>
  <rowFields count="1">
    <field x="0"/>
  </rowFields>
  <rowItems count="4"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Outlate" fld="1" subtotal="count" baseField="0" baseItem="0"/>
    <dataField name="Market wise Deu" fld="3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collapsedLevelsAreSubtotals="1" fieldPosition="0">
        <references count="1">
          <reference field="0" count="0"/>
        </references>
      </pivotArea>
    </format>
    <format dxfId="6">
      <pivotArea dataOnly="0" labelOnly="1" fieldPosition="0">
        <references count="1">
          <reference field="0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F3B7-2F6F-402B-8917-14E85407A8F5}">
  <dimension ref="B1:L25"/>
  <sheetViews>
    <sheetView tabSelected="1" workbookViewId="0">
      <selection activeCell="H17" sqref="H17"/>
    </sheetView>
  </sheetViews>
  <sheetFormatPr defaultRowHeight="15" x14ac:dyDescent="0.25"/>
  <cols>
    <col min="2" max="2" width="9.85546875" bestFit="1" customWidth="1"/>
    <col min="4" max="4" width="14.85546875" customWidth="1"/>
    <col min="5" max="5" width="11.42578125" customWidth="1"/>
    <col min="9" max="9" width="11" bestFit="1" customWidth="1"/>
    <col min="10" max="10" width="7.42578125" bestFit="1" customWidth="1"/>
    <col min="11" max="11" width="15.5703125" bestFit="1" customWidth="1"/>
    <col min="12" max="12" width="14.140625" customWidth="1"/>
    <col min="13" max="13" width="6" bestFit="1" customWidth="1"/>
    <col min="15" max="15" width="6" bestFit="1" customWidth="1"/>
    <col min="16" max="16" width="8" bestFit="1" customWidth="1"/>
    <col min="17" max="17" width="7.28515625" bestFit="1" customWidth="1"/>
    <col min="18" max="18" width="11.28515625" bestFit="1" customWidth="1"/>
  </cols>
  <sheetData>
    <row r="1" spans="2:12" x14ac:dyDescent="0.25">
      <c r="C1" s="21" t="s">
        <v>7</v>
      </c>
      <c r="D1" s="21"/>
      <c r="E1" s="21"/>
      <c r="F1" s="21"/>
      <c r="G1" s="21"/>
    </row>
    <row r="2" spans="2:12" ht="15" customHeight="1" x14ac:dyDescent="0.25">
      <c r="C2" s="21"/>
      <c r="D2" s="21"/>
      <c r="E2" s="21"/>
      <c r="F2" s="21"/>
      <c r="G2" s="21"/>
      <c r="I2" s="22" t="s">
        <v>8</v>
      </c>
      <c r="J2" s="22"/>
      <c r="K2" s="22"/>
      <c r="L2" s="7"/>
    </row>
    <row r="3" spans="2:12" ht="15" customHeight="1" x14ac:dyDescent="0.25">
      <c r="B3" s="1" t="s">
        <v>22</v>
      </c>
      <c r="C3" s="1" t="s">
        <v>5</v>
      </c>
      <c r="D3" s="1" t="s">
        <v>6</v>
      </c>
      <c r="E3" s="1" t="s">
        <v>3</v>
      </c>
      <c r="I3" s="22"/>
      <c r="J3" s="22"/>
      <c r="K3" s="22"/>
      <c r="L3" s="7"/>
    </row>
    <row r="4" spans="2:12" ht="15" customHeight="1" x14ac:dyDescent="0.25">
      <c r="B4" t="s">
        <v>21</v>
      </c>
      <c r="C4" s="2" t="str">
        <f>HYPERLINK("#'Moumita'!A1", "Moumita")</f>
        <v>Moumita</v>
      </c>
      <c r="D4" cm="1">
        <f t="array" ref="D4">LOOKUP(2, 1/(Moumita!D4:D500&lt;&gt;""), Moumita!D4:D500)</f>
        <v>20000</v>
      </c>
      <c r="E4" cm="1">
        <f t="array" ref="E4">LOOKUP(2, 1/(Moumita!E4:E500&lt;&gt;""), Moumita!E4:E500)</f>
        <v>231438</v>
      </c>
      <c r="I4" s="22"/>
      <c r="J4" s="22"/>
      <c r="K4" s="22"/>
      <c r="L4" s="7"/>
    </row>
    <row r="5" spans="2:12" ht="15" customHeight="1" x14ac:dyDescent="0.25">
      <c r="B5" t="s">
        <v>21</v>
      </c>
      <c r="C5" s="2" t="str">
        <f>HYPERLINK("#'Razapur'!A1", "Razapur")</f>
        <v>Razapur</v>
      </c>
      <c r="D5" cm="1">
        <f t="array" ref="D5">LOOKUP(2, 1/(Razapur!D4:D500&lt;&gt;""), Razapur!D4:D500)</f>
        <v>2000</v>
      </c>
      <c r="E5" cm="1">
        <f t="array" ref="E5">LOOKUP(2, 1/(Razapur!E4:E500&lt;&gt;""), Razapur!E4:E500)</f>
        <v>24878</v>
      </c>
      <c r="I5" s="23">
        <f>SUM(E4:E1048576)</f>
        <v>764326</v>
      </c>
      <c r="J5" s="23"/>
      <c r="K5" s="23"/>
      <c r="L5" s="6"/>
    </row>
    <row r="6" spans="2:12" ht="15" customHeight="1" x14ac:dyDescent="0.25">
      <c r="B6" t="s">
        <v>21</v>
      </c>
      <c r="C6" s="2" t="str">
        <f>HYPERLINK("#'Kabir'!A1", "Kabir")</f>
        <v>Kabir</v>
      </c>
      <c r="D6" cm="1">
        <f t="array" ref="D6">LOOKUP(2, 1/(Kabir!D4:D500&lt;&gt;""), Kabir!D4:D500)</f>
        <v>2000</v>
      </c>
      <c r="E6" cm="1">
        <f t="array" ref="E6">LOOKUP(2, 1/(Kabir!E4:E500&lt;&gt;""), Kabir!E4:E500)</f>
        <v>22116</v>
      </c>
      <c r="I6" s="23"/>
      <c r="J6" s="23"/>
      <c r="K6" s="23"/>
      <c r="L6" s="6"/>
    </row>
    <row r="7" spans="2:12" ht="15.75" customHeight="1" x14ac:dyDescent="0.25">
      <c r="B7" t="s">
        <v>21</v>
      </c>
      <c r="C7" s="2" t="str">
        <f>HYPERLINK("#'Miya'!A1", "Miya")</f>
        <v>Miya</v>
      </c>
      <c r="D7" cm="1">
        <f t="array" ref="D7">LOOKUP(2, 1/(Miya!D4:D500&lt;&gt;""), Miya!D4:D500)</f>
        <v>2000</v>
      </c>
      <c r="E7" cm="1">
        <f t="array" ref="E7">LOOKUP(2, 1/(Miya!E4:E500&lt;&gt;""), Miya!E4:E500)</f>
        <v>25574</v>
      </c>
      <c r="I7" s="23"/>
      <c r="J7" s="23"/>
      <c r="K7" s="23"/>
      <c r="L7" s="6"/>
    </row>
    <row r="8" spans="2:12" x14ac:dyDescent="0.25">
      <c r="B8" t="s">
        <v>21</v>
      </c>
      <c r="C8" s="2" t="str">
        <f>HYPERLINK("#'Rafid'!A1", "Rafid")</f>
        <v>Rafid</v>
      </c>
      <c r="D8" cm="1">
        <f t="array" ref="D8">LOOKUP(2, 1/(Rafid!D4:D500&lt;&gt;""), Rafid!D4:D500)</f>
        <v>3000</v>
      </c>
      <c r="E8" cm="1">
        <f t="array" ref="E8">LOOKUP(2, 1/(Rafid!E4:E500&lt;&gt;""), Rafid!E4:E500)</f>
        <v>16000</v>
      </c>
    </row>
    <row r="9" spans="2:12" ht="15.75" thickBot="1" x14ac:dyDescent="0.3">
      <c r="B9" t="s">
        <v>21</v>
      </c>
      <c r="C9" s="2" t="str">
        <f>HYPERLINK("#'Fatema'!A1", "Fatema")</f>
        <v>Fatema</v>
      </c>
      <c r="D9" cm="1">
        <f t="array" ref="D9">LOOKUP(2, 1/(Fatema!D4:D500&lt;&gt;""), Fatema!D4:D500)</f>
        <v>50000</v>
      </c>
      <c r="E9" cm="1">
        <f t="array" ref="E9">LOOKUP(2, 1/(Fatema!E4:E500&lt;&gt;""), Fatema!E4:E500)</f>
        <v>44719</v>
      </c>
    </row>
    <row r="10" spans="2:12" ht="15.75" thickBot="1" x14ac:dyDescent="0.3">
      <c r="B10" t="s">
        <v>21</v>
      </c>
      <c r="C10" s="2" t="str">
        <f>HYPERLINK("#'Badhon'!A1", "Badhon")</f>
        <v>Badhon</v>
      </c>
      <c r="D10" cm="1">
        <f t="array" ref="D10">LOOKUP(2, 1/(Badhon!D4:D500&lt;&gt;""), Badhon!D4:D500)</f>
        <v>45800</v>
      </c>
      <c r="E10" cm="1">
        <f t="array" ref="E10">LOOKUP(2, 1/(Badhon!E4:E500&lt;&gt;""), Badhon!E4:E500)</f>
        <v>0</v>
      </c>
      <c r="I10" s="11" t="s">
        <v>22</v>
      </c>
      <c r="J10" s="13" t="s">
        <v>34</v>
      </c>
      <c r="K10" s="14" t="s">
        <v>35</v>
      </c>
    </row>
    <row r="11" spans="2:12" x14ac:dyDescent="0.25">
      <c r="B11" t="s">
        <v>21</v>
      </c>
      <c r="C11" s="2" t="str">
        <f>HYPERLINK("#'Alam'!A1", "Alam")</f>
        <v>Alam</v>
      </c>
      <c r="D11">
        <f>LOOKUP(2, 1/(Alam!D4:D500&lt;&gt;""), Alam!D4:D500)</f>
        <v>1000</v>
      </c>
      <c r="E11">
        <f>LOOKUP(2, 1/(Alam!E4:E500&lt;&gt;""), Alam!E4:E500)</f>
        <v>4732</v>
      </c>
      <c r="I11" s="16" t="s">
        <v>21</v>
      </c>
      <c r="J11" s="8">
        <v>8</v>
      </c>
      <c r="K11" s="9">
        <v>469635</v>
      </c>
    </row>
    <row r="12" spans="2:12" x14ac:dyDescent="0.25">
      <c r="B12" t="s">
        <v>27</v>
      </c>
      <c r="C12" s="2" t="str">
        <f>HYPERLINK("#'PakAzad'!A1", "PakAzad")</f>
        <v>PakAzad</v>
      </c>
      <c r="D12">
        <f>LOOKUP(2, 1/(PakAzad!D4:D500&lt;&gt;""), PakAzad!D4:D500)</f>
        <v>7000</v>
      </c>
      <c r="E12">
        <f>LOOKUP(2, 1/(PakAzad!E4:E500&lt;&gt;""), PakAzad!E4:E500)</f>
        <v>47616</v>
      </c>
      <c r="I12" s="20" t="s">
        <v>27</v>
      </c>
      <c r="J12" s="18">
        <v>6</v>
      </c>
      <c r="K12" s="15">
        <v>270571</v>
      </c>
    </row>
    <row r="13" spans="2:12" ht="15.75" thickBot="1" x14ac:dyDescent="0.3">
      <c r="B13" t="s">
        <v>27</v>
      </c>
      <c r="C13" s="2" t="str">
        <f>HYPERLINK("#'Himel'!A1", "Himel")</f>
        <v>Himel</v>
      </c>
      <c r="D13">
        <f>LOOKUP(2, 1/(Himel!D4:D500&lt;&gt;""), Himel!D4:D500)</f>
        <v>5000</v>
      </c>
      <c r="E13">
        <f>LOOKUP(2, 1/(Himel!E4:E500&lt;&gt;""), Himel!E4:E500)</f>
        <v>1022</v>
      </c>
      <c r="I13" s="17" t="s">
        <v>40</v>
      </c>
      <c r="J13" s="18">
        <v>8</v>
      </c>
      <c r="K13" s="15">
        <v>183024</v>
      </c>
    </row>
    <row r="14" spans="2:12" ht="15.75" thickBot="1" x14ac:dyDescent="0.3">
      <c r="B14" t="s">
        <v>27</v>
      </c>
      <c r="C14" s="2" t="str">
        <f>HYPERLINK("#'BhaiBhai'!A1", "BhaiBhai")</f>
        <v>BhaiBhai</v>
      </c>
      <c r="D14">
        <f>LOOKUP(2, 1/(BhaiBhai!D4:D500&lt;&gt;""), BhaiBhai!D4:D500)</f>
        <v>3000</v>
      </c>
      <c r="E14">
        <f>LOOKUP(2, 1/(BhaiBhai!E4:E500&lt;&gt;""), BhaiBhai!E4:E500)</f>
        <v>3450</v>
      </c>
      <c r="I14" s="12" t="s">
        <v>23</v>
      </c>
      <c r="J14" s="10">
        <v>22</v>
      </c>
      <c r="K14" s="5">
        <v>923230</v>
      </c>
    </row>
    <row r="15" spans="2:12" x14ac:dyDescent="0.25">
      <c r="B15" t="s">
        <v>27</v>
      </c>
      <c r="C15" s="2" t="str">
        <f>HYPERLINK("#'Akon'!A1", "Akon")</f>
        <v>Akon</v>
      </c>
      <c r="D15">
        <f>LOOKUP(2, 1/(Akon!D4:D500&lt;&gt;""), Akon!D4:D500)</f>
        <v>5000</v>
      </c>
      <c r="E15">
        <f>LOOKUP(2, 1/(Akon!E4:E500&lt;&gt;""), Akon!E4:E500)</f>
        <v>15000</v>
      </c>
    </row>
    <row r="16" spans="2:12" x14ac:dyDescent="0.25">
      <c r="B16" t="s">
        <v>27</v>
      </c>
      <c r="C16" s="2" t="str">
        <f>HYPERLINK("#'Modina'!A1", "Modina")</f>
        <v>Modina</v>
      </c>
      <c r="D16">
        <f>LOOKUP(2, 1/(Modina!D4:D500&lt;&gt;""), Modina!D4:D500)</f>
        <v>10000</v>
      </c>
      <c r="E16">
        <f>LOOKUP(2, 1/(Modina!E4:E500&lt;&gt;""), Modina!E4:E500)</f>
        <v>90945</v>
      </c>
    </row>
    <row r="17" spans="2:5" x14ac:dyDescent="0.25">
      <c r="B17" t="s">
        <v>27</v>
      </c>
      <c r="C17" s="2" t="str">
        <f>HYPERLINK("#'Digital'!A1", "Digital")</f>
        <v>Digital</v>
      </c>
      <c r="D17">
        <f>LOOKUP(2, 1/(Digital!D4:D500&lt;&gt;""), Digital!D4:D500)</f>
        <v>8000</v>
      </c>
      <c r="E17">
        <f>LOOKUP(2, 1/(Digital!E4:E500&lt;&gt;""), Digital!E4:E500)</f>
        <v>52538</v>
      </c>
    </row>
    <row r="18" spans="2:5" x14ac:dyDescent="0.25">
      <c r="B18" t="s">
        <v>40</v>
      </c>
      <c r="C18" s="2" t="str">
        <f>HYPERLINK("#'Talukder'!A1", "Talukder")</f>
        <v>Talukder</v>
      </c>
      <c r="D18">
        <f>LOOKUP(2, 1/(Talukder!D4:D500&lt;&gt;""), Talukder!D4:D500)</f>
        <v>2000</v>
      </c>
      <c r="E18">
        <f>LOOKUP(2, 1/(Talukder!E4:E500&lt;&gt;""), Talukder!E4:E500)</f>
        <v>5500</v>
      </c>
    </row>
    <row r="19" spans="2:5" x14ac:dyDescent="0.25">
      <c r="B19" t="s">
        <v>40</v>
      </c>
      <c r="C19" s="2" t="str">
        <f>HYPERLINK("#'Khan'!A1", "Khan")</f>
        <v>Khan</v>
      </c>
      <c r="D19">
        <f>LOOKUP(2, 1/(Khan!D4:D500&lt;&gt;""), Khan!D4:D500)</f>
        <v>1000</v>
      </c>
      <c r="E19">
        <f>LOOKUP(2, 1/(Khan!E4:E500&lt;&gt;""), Khan!E4:E500)</f>
        <v>5395</v>
      </c>
    </row>
    <row r="20" spans="2:5" x14ac:dyDescent="0.25">
      <c r="B20" t="s">
        <v>40</v>
      </c>
      <c r="C20" s="2" t="str">
        <f>HYPERLINK("#'Naim'!A1", "Naim")</f>
        <v>Naim</v>
      </c>
      <c r="D20">
        <f>LOOKUP(2, 1/(Naim!D4:D500&lt;&gt;""), Naim!D4:D500)</f>
        <v>1400</v>
      </c>
      <c r="E20">
        <f>LOOKUP(2, 1/(Naim!E4:E500&lt;&gt;""), Naim!E4:E500)</f>
        <v>10400</v>
      </c>
    </row>
    <row r="21" spans="2:5" x14ac:dyDescent="0.25">
      <c r="B21" t="s">
        <v>40</v>
      </c>
      <c r="C21" s="2" t="str">
        <f>HYPERLINK("#'Hasan'!A1", "Hasan")</f>
        <v>Hasan</v>
      </c>
      <c r="D21">
        <f>LOOKUP(2, 1/(Hasan!D4:D500&lt;&gt;""), Hasan!D4:D500)</f>
        <v>2000</v>
      </c>
      <c r="E21">
        <f>LOOKUP(2, 1/(Hasan!E4:E500&lt;&gt;""), Hasan!E4:E500)</f>
        <v>3600</v>
      </c>
    </row>
    <row r="22" spans="2:5" x14ac:dyDescent="0.25">
      <c r="B22" t="s">
        <v>40</v>
      </c>
      <c r="C22" s="2" t="str">
        <f>HYPERLINK("#'RafiqZ'!A1", "RafiqZ")</f>
        <v>RafiqZ</v>
      </c>
      <c r="D22">
        <f>LOOKUP(2, 1/(RafiqZ!D4:D500&lt;&gt;""), RafiqZ!D4:D500)</f>
        <v>530</v>
      </c>
      <c r="E22">
        <f>LOOKUP(2, 1/(RafiqZ!E4:E500&lt;&gt;""), RafiqZ!E4:E500)</f>
        <v>3274</v>
      </c>
    </row>
    <row r="23" spans="2:5" x14ac:dyDescent="0.25">
      <c r="B23" t="s">
        <v>40</v>
      </c>
      <c r="C23" s="2" t="str">
        <f>HYPERLINK("#'Ebrahim'!A1", "Ebrahim")</f>
        <v>Ebrahim</v>
      </c>
      <c r="D23">
        <f>LOOKUP(2, 1/(Ebrahim!D4:D500&lt;&gt;""), Ebrahim!D4:D500)</f>
        <v>1040</v>
      </c>
      <c r="E23">
        <f>LOOKUP(2, 1/(Ebrahim!E4:E500&lt;&gt;""), Ebrahim!E4:E500)</f>
        <v>0</v>
      </c>
    </row>
    <row r="24" spans="2:5" x14ac:dyDescent="0.25">
      <c r="B24" t="s">
        <v>40</v>
      </c>
      <c r="C24" s="2" t="str">
        <f>HYPERLINK("#'RafiqB'!A1", "RafiqB")</f>
        <v>RafiqB</v>
      </c>
      <c r="D24">
        <f>LOOKUP(2, 1/(RafiqB!D4:D500&lt;&gt;""), RafiqB!D4:D500)</f>
        <v>2000</v>
      </c>
      <c r="E24">
        <f>LOOKUP(2, 1/(RafiqB!E4:E500&lt;&gt;""), RafiqB!E4:E500)</f>
        <v>14360</v>
      </c>
    </row>
    <row r="25" spans="2:5" x14ac:dyDescent="0.25">
      <c r="B25" t="s">
        <v>40</v>
      </c>
      <c r="C25" s="2" t="str">
        <f>HYPERLINK("#'Maisha'!A1", "Maisha")</f>
        <v>Maisha</v>
      </c>
      <c r="D25">
        <f>LOOKUP(2, 1/(Maisha!D4:D500&lt;&gt;""), Maisha!D4:D500)</f>
        <v>5000</v>
      </c>
      <c r="E25">
        <f>LOOKUP(2, 1/(Maisha!E4:E500&lt;&gt;""), Maisha!E4:E500)</f>
        <v>141769</v>
      </c>
    </row>
  </sheetData>
  <mergeCells count="3">
    <mergeCell ref="C1:G2"/>
    <mergeCell ref="I2:K4"/>
    <mergeCell ref="I5:K7"/>
  </mergeCells>
  <conditionalFormatting sqref="E4:E150">
    <cfRule type="cellIs" dxfId="23" priority="1" operator="lessThan">
      <formula>1</formula>
    </cfRule>
    <cfRule type="cellIs" dxfId="22" priority="2" operator="greaterThan">
      <formula>50000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pane ySplit="3" topLeftCell="A4" activePane="bottomLeft" state="frozen"/>
      <selection pane="bottomLeft"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6" x14ac:dyDescent="0.25">
      <c r="A1" s="25" t="str">
        <f>HYPERLINK("#'Home'!A1", "Home")</f>
        <v>Home</v>
      </c>
      <c r="B1" s="24" t="s">
        <v>9</v>
      </c>
      <c r="C1" s="24"/>
      <c r="D1" s="24"/>
      <c r="E1" s="24"/>
    </row>
    <row r="2" spans="1:6" x14ac:dyDescent="0.25">
      <c r="A2" s="26"/>
      <c r="B2" s="24"/>
      <c r="C2" s="24"/>
      <c r="D2" s="24"/>
      <c r="E2" s="24"/>
    </row>
    <row r="3" spans="1:6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6" x14ac:dyDescent="0.25">
      <c r="A4" s="3">
        <v>45914</v>
      </c>
      <c r="B4">
        <v>71599</v>
      </c>
      <c r="C4">
        <f>IF(B4="", "", SUM($B$4:B4))</f>
        <v>71599</v>
      </c>
      <c r="E4">
        <f>IF(AND(B4="", D4=""), "", N(LOOKUP(2, 1/($E$3:E3&lt;&gt;""), $E$3:E3)) + B4 - D4)</f>
        <v>71599</v>
      </c>
    </row>
    <row r="5" spans="1:6" x14ac:dyDescent="0.25">
      <c r="A5" s="3">
        <v>45924</v>
      </c>
      <c r="B5">
        <v>104760</v>
      </c>
      <c r="C5">
        <f>IF(B5="", "", SUM($B$4:B5))</f>
        <v>176359</v>
      </c>
      <c r="E5">
        <f>IF(AND(B5="", D5=""), "", N(LOOKUP(2, 1/($E$3:E4&lt;&gt;""), $E$3:E4)) + B5 - D5)</f>
        <v>176359</v>
      </c>
    </row>
    <row r="6" spans="1:6" x14ac:dyDescent="0.25">
      <c r="C6" t="str">
        <f>IF(B6="", "", SUM($B$4:B6))</f>
        <v/>
      </c>
      <c r="D6">
        <v>3400</v>
      </c>
      <c r="E6">
        <f>IF(AND(B6="", D6=""), "", N(LOOKUP(2, 1/($E$3:E5&lt;&gt;""), $E$3:E5)) + B6 - D6)</f>
        <v>172959</v>
      </c>
      <c r="F6" s="4" t="s">
        <v>10</v>
      </c>
    </row>
    <row r="7" spans="1:6" x14ac:dyDescent="0.25">
      <c r="A7" s="3">
        <v>45905</v>
      </c>
      <c r="B7">
        <v>3812</v>
      </c>
      <c r="C7">
        <f>IF(B7="", "", SUM($B$4:B7))</f>
        <v>180171</v>
      </c>
      <c r="E7">
        <f>IF(AND(B7="", D7=""), "", N(LOOKUP(2, 1/($E$3:E6&lt;&gt;""), $E$3:E6)) + B7 - D7)</f>
        <v>176771</v>
      </c>
    </row>
    <row r="8" spans="1:6" x14ac:dyDescent="0.25">
      <c r="A8" s="3">
        <v>45973</v>
      </c>
      <c r="C8" t="str">
        <f>IF(B8="", "", SUM($B$4:B8))</f>
        <v/>
      </c>
      <c r="D8">
        <v>20000</v>
      </c>
      <c r="E8">
        <f>IF(AND(B8="", D8=""), "", N(LOOKUP(2, 1/($E$3:E7&lt;&gt;""), $E$3:E7)) + B8 - D8)</f>
        <v>156771</v>
      </c>
    </row>
    <row r="9" spans="1:6" x14ac:dyDescent="0.25">
      <c r="A9" s="3">
        <v>45977</v>
      </c>
      <c r="C9" t="str">
        <f>IF(B9="", "", SUM($B$4:B9))</f>
        <v/>
      </c>
      <c r="D9">
        <v>30000</v>
      </c>
      <c r="E9">
        <f>IF(AND(B9="", D9=""), "", N(LOOKUP(2, 1/($E$3:E8&lt;&gt;""), $E$3:E8)) + B9 - D9)</f>
        <v>126771</v>
      </c>
    </row>
    <row r="10" spans="1:6" x14ac:dyDescent="0.25">
      <c r="A10" s="3">
        <v>45995</v>
      </c>
      <c r="B10">
        <v>76289</v>
      </c>
      <c r="C10">
        <f>IF(B10="", "", SUM($B$4:B10))</f>
        <v>256460</v>
      </c>
      <c r="E10">
        <f>IF(AND(B10="", D10=""), "", N(LOOKUP(2, 1/($E$3:E9&lt;&gt;""), $E$3:E9)) + B10 - D10)</f>
        <v>203060</v>
      </c>
    </row>
    <row r="11" spans="1:6" x14ac:dyDescent="0.25">
      <c r="C11" t="str">
        <f>IF(B11="", "", SUM($B$4:B11))</f>
        <v/>
      </c>
      <c r="D11">
        <v>400</v>
      </c>
      <c r="E11">
        <f>IF(AND(B11="", D11=""), "", N(LOOKUP(2, 1/($E$3:E10&lt;&gt;""), $E$3:E10)) + B11 - D11)</f>
        <v>202660</v>
      </c>
      <c r="F11" s="4" t="s">
        <v>11</v>
      </c>
    </row>
    <row r="12" spans="1:6" x14ac:dyDescent="0.25">
      <c r="A12" s="3">
        <v>46005</v>
      </c>
      <c r="C12" t="str">
        <f>IF(B12="", "", SUM($B$4:B12))</f>
        <v/>
      </c>
      <c r="D12">
        <v>20000</v>
      </c>
      <c r="E12">
        <f>IF(AND(B12="", D12=""), "", N(LOOKUP(2, 1/($E$3:E11&lt;&gt;""), $E$3:E11)) + B12 - D12)</f>
        <v>182660</v>
      </c>
    </row>
    <row r="13" spans="1:6" x14ac:dyDescent="0.25">
      <c r="A13" s="3">
        <v>46008</v>
      </c>
      <c r="C13" t="str">
        <f>IF(B13="", "", SUM($B$4:B13))</f>
        <v/>
      </c>
      <c r="D13">
        <f>10000+10000</f>
        <v>20000</v>
      </c>
      <c r="E13">
        <f>IF(AND(B13="", D13=""), "", N(LOOKUP(2, 1/($E$3:E12&lt;&gt;""), $E$3:E12)) + B13 - D13)</f>
        <v>162660</v>
      </c>
    </row>
    <row r="14" spans="1:6" x14ac:dyDescent="0.25">
      <c r="A14" s="3">
        <v>46018</v>
      </c>
      <c r="B14">
        <v>97188</v>
      </c>
      <c r="C14">
        <f>IF(B14="", "", SUM($B$4:B14))</f>
        <v>353648</v>
      </c>
      <c r="E14">
        <f>IF(AND(B14="", D14=""), "", N(LOOKUP(2, 1/($E$3:E13&lt;&gt;""), $E$3:E13)) + B14 - D14)</f>
        <v>259848</v>
      </c>
    </row>
    <row r="15" spans="1:6" x14ac:dyDescent="0.25">
      <c r="A15" s="3">
        <v>46037</v>
      </c>
      <c r="C15" t="str">
        <f>IF(B15="", "", SUM($B$4:B15))</f>
        <v/>
      </c>
      <c r="D15">
        <v>20000</v>
      </c>
      <c r="E15">
        <f>IF(AND(B15="", D15=""), "", N(LOOKUP(2, 1/($E$3:E14&lt;&gt;""), $E$3:E14)) + B15 - D15)</f>
        <v>239848</v>
      </c>
    </row>
    <row r="16" spans="1:6" x14ac:dyDescent="0.25">
      <c r="A16" s="3">
        <v>46047</v>
      </c>
      <c r="C16" t="str">
        <f>IF(B16="", "", SUM($B$4:B16))</f>
        <v/>
      </c>
      <c r="D16">
        <v>70000</v>
      </c>
      <c r="E16">
        <f>IF(AND(B16="", D16=""), "", N(LOOKUP(2, 1/($E$3:E15&lt;&gt;""), $E$3:E15)) + B16 - D16)</f>
        <v>169848</v>
      </c>
    </row>
    <row r="17" spans="1:5" x14ac:dyDescent="0.25">
      <c r="A17" s="3">
        <v>46049</v>
      </c>
      <c r="B17">
        <v>136085</v>
      </c>
      <c r="C17">
        <f>IF(B17="", "", SUM($B$4:B17))</f>
        <v>489733</v>
      </c>
      <c r="E17">
        <f>IF(AND(B17="", D17=""), "", N(LOOKUP(2, 1/($E$3:E16&lt;&gt;""), $E$3:E16)) + B17 - D17)</f>
        <v>305933</v>
      </c>
    </row>
    <row r="18" spans="1:5" x14ac:dyDescent="0.25">
      <c r="A18" s="3">
        <v>46068</v>
      </c>
      <c r="C18" t="str">
        <f>IF(B18="", "", SUM($B$4:B18))</f>
        <v/>
      </c>
      <c r="D18">
        <v>20000</v>
      </c>
      <c r="E18">
        <f>IF(AND(B18="", D18=""), "", N(LOOKUP(2, 1/($E$3:E17&lt;&gt;""), $E$3:E17)) + B18 - D18)</f>
        <v>285933</v>
      </c>
    </row>
    <row r="19" spans="1:5" x14ac:dyDescent="0.25">
      <c r="A19" s="3">
        <v>46091</v>
      </c>
      <c r="C19" t="str">
        <f>IF(B19="", "", SUM($B$4:B19))</f>
        <v/>
      </c>
      <c r="D19">
        <v>40000</v>
      </c>
      <c r="E19">
        <f>IF(AND(B19="", D19=""), "", N(LOOKUP(2, 1/($E$3:E18&lt;&gt;""), $E$3:E18)) + B19 - D19)</f>
        <v>245933</v>
      </c>
    </row>
    <row r="20" spans="1:5" x14ac:dyDescent="0.25">
      <c r="A20" s="3">
        <v>46114</v>
      </c>
      <c r="B20">
        <v>10716</v>
      </c>
      <c r="C20">
        <f>IF(B20="", "", SUM($B$4:B20))</f>
        <v>500449</v>
      </c>
      <c r="E20">
        <f>IF(AND(B20="", D20=""), "", N(LOOKUP(2, 1/($E$3:E19&lt;&gt;""), $E$3:E19)) + B20 - D20)</f>
        <v>256649</v>
      </c>
    </row>
    <row r="21" spans="1:5" x14ac:dyDescent="0.25">
      <c r="A21" s="3">
        <v>46120</v>
      </c>
      <c r="B21">
        <v>7896</v>
      </c>
      <c r="C21">
        <f>IF(B21="", "", SUM($B$4:B21))</f>
        <v>508345</v>
      </c>
      <c r="E21">
        <f>IF(AND(B21="", D21=""), "", N(LOOKUP(2, 1/($E$3:E20&lt;&gt;""), $E$3:E20)) + B21 - D21)</f>
        <v>264545</v>
      </c>
    </row>
    <row r="22" spans="1:5" x14ac:dyDescent="0.25">
      <c r="A22" s="3">
        <v>46120</v>
      </c>
      <c r="C22" t="str">
        <f>IF(B22="", "", SUM($B$4:B22))</f>
        <v/>
      </c>
      <c r="D22">
        <v>10000</v>
      </c>
      <c r="E22">
        <f>IF(AND(B22="", D22=""), "", N(LOOKUP(2, 1/($E$3:E21&lt;&gt;""), $E$3:E21)) + B22 - D22)</f>
        <v>254545</v>
      </c>
    </row>
    <row r="23" spans="1:5" x14ac:dyDescent="0.25">
      <c r="A23" s="3">
        <v>46127</v>
      </c>
      <c r="C23" t="str">
        <f>IF(B23="", "", SUM($B$4:B23))</f>
        <v/>
      </c>
      <c r="D23">
        <v>50000</v>
      </c>
      <c r="E23">
        <f>IF(AND(B23="", D23=""), "", N(LOOKUP(2, 1/($E$3:E22&lt;&gt;""), $E$3:E22)) + B23 - D23)</f>
        <v>204545</v>
      </c>
    </row>
    <row r="24" spans="1:5" x14ac:dyDescent="0.25">
      <c r="A24" s="3">
        <v>46135</v>
      </c>
      <c r="B24">
        <v>96893</v>
      </c>
      <c r="C24">
        <f>IF(B24="", "", SUM($B$4:B24))</f>
        <v>605238</v>
      </c>
      <c r="E24">
        <f>IF(AND(B24="", D24=""), "", N(LOOKUP(2, 1/($E$3:E23&lt;&gt;""), $E$3:E23)) + B24 - D24)</f>
        <v>301438</v>
      </c>
    </row>
    <row r="25" spans="1:5" x14ac:dyDescent="0.25">
      <c r="A25" s="3">
        <v>46155</v>
      </c>
      <c r="C25" t="str">
        <f>IF(B25="", "", SUM($B$4:B25))</f>
        <v/>
      </c>
      <c r="D25">
        <v>30000</v>
      </c>
      <c r="E25">
        <f>IF(AND(B25="", D25=""), "", N(LOOKUP(2, 1/($E$3:E24&lt;&gt;""), $E$3:E24)) + B25 - D25)</f>
        <v>271438</v>
      </c>
    </row>
    <row r="26" spans="1:5" x14ac:dyDescent="0.25">
      <c r="A26" s="3">
        <v>46183</v>
      </c>
      <c r="C26" t="str">
        <f>IF(B26="", "", SUM($B$4:B26))</f>
        <v/>
      </c>
      <c r="D26">
        <v>20000</v>
      </c>
      <c r="E26">
        <f>IF(AND(B26="", D26=""), "", N(LOOKUP(2, 1/($E$3:E25&lt;&gt;""), $E$3:E25)) + B26 - D26)</f>
        <v>251438</v>
      </c>
    </row>
    <row r="27" spans="1:5" x14ac:dyDescent="0.25">
      <c r="A27" s="3">
        <v>46187</v>
      </c>
      <c r="C27" t="str">
        <f>IF(B27="", "", SUM($B$4:B27))</f>
        <v/>
      </c>
      <c r="D27">
        <v>20000</v>
      </c>
      <c r="E27">
        <f>IF(AND(B27="", D27=""), "", N(LOOKUP(2, 1/($E$3:E26&lt;&gt;""), $E$3:E26)) + B27 - D27)</f>
        <v>231438</v>
      </c>
    </row>
    <row r="28" spans="1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1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1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1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1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B1:E2"/>
    <mergeCell ref="A1:A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2B5E-137D-4255-868A-75A2677AC23F}">
  <dimension ref="A1:F102"/>
  <sheetViews>
    <sheetView workbookViewId="0">
      <pane ySplit="3" topLeftCell="A10" activePane="bottomLeft" state="frozen"/>
      <selection pane="bottomLeft"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x14ac:dyDescent="0.25">
      <c r="A1" s="25" t="str">
        <f>HYPERLINK("#'Home'!A1", "Home")</f>
        <v>Home</v>
      </c>
      <c r="B1" s="24" t="s">
        <v>12</v>
      </c>
      <c r="C1" s="24"/>
      <c r="D1" s="24"/>
      <c r="E1" s="24"/>
    </row>
    <row r="2" spans="1:5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45910</v>
      </c>
      <c r="B4">
        <v>20076</v>
      </c>
      <c r="C4">
        <f>IF(B4="", "", SUM($B$4:B4))</f>
        <v>20076</v>
      </c>
      <c r="E4">
        <f>IF(AND(B4="", D4=""), "", N(LOOKUP(2, 1/($E$3:E3&lt;&gt;""), $E$3:E3)) + B4 - D4)</f>
        <v>20076</v>
      </c>
    </row>
    <row r="5" spans="1:5" x14ac:dyDescent="0.25">
      <c r="A5" s="3">
        <v>45917</v>
      </c>
      <c r="C5" t="str">
        <f>IF(B5="", "", SUM($B$4:B5))</f>
        <v/>
      </c>
      <c r="D5">
        <v>20000</v>
      </c>
      <c r="E5">
        <f>IF(AND(B5="", D5=""), "", N(LOOKUP(2, 1/($E$3:E4&lt;&gt;""), $E$3:E4)) + B5 - D5)</f>
        <v>76</v>
      </c>
    </row>
    <row r="6" spans="1:5" x14ac:dyDescent="0.25">
      <c r="A6" s="3">
        <v>45924</v>
      </c>
      <c r="B6">
        <v>33222</v>
      </c>
      <c r="C6">
        <f>IF(B6="", "", SUM($B$4:B6))</f>
        <v>53298</v>
      </c>
      <c r="E6">
        <f>IF(AND(B6="", D6=""), "", N(LOOKUP(2, 1/($E$3:E5&lt;&gt;""), $E$3:E5)) + B6 - D6)</f>
        <v>33298</v>
      </c>
    </row>
    <row r="7" spans="1:5" x14ac:dyDescent="0.25">
      <c r="A7" s="3">
        <v>45931</v>
      </c>
      <c r="C7" t="str">
        <f>IF(B7="", "", SUM($B$4:B7))</f>
        <v/>
      </c>
      <c r="D7">
        <v>5000</v>
      </c>
      <c r="E7">
        <f>IF(AND(B7="", D7=""), "", N(LOOKUP(2, 1/($E$3:E6&lt;&gt;""), $E$3:E6)) + B7 - D7)</f>
        <v>28298</v>
      </c>
    </row>
    <row r="8" spans="1:5" x14ac:dyDescent="0.25">
      <c r="A8" s="3">
        <v>45938</v>
      </c>
      <c r="C8" t="str">
        <f>IF(B8="", "", SUM($B$4:B8))</f>
        <v/>
      </c>
      <c r="D8">
        <v>3000</v>
      </c>
      <c r="E8">
        <f>IF(AND(B8="", D8=""), "", N(LOOKUP(2, 1/($E$3:E7&lt;&gt;""), $E$3:E7)) + B8 - D8)</f>
        <v>25298</v>
      </c>
    </row>
    <row r="9" spans="1:5" x14ac:dyDescent="0.25">
      <c r="A9" s="3">
        <v>45945</v>
      </c>
      <c r="C9" t="str">
        <f>IF(B9="", "", SUM($B$4:B9))</f>
        <v/>
      </c>
      <c r="D9">
        <v>4000</v>
      </c>
      <c r="E9">
        <f>IF(AND(B9="", D9=""), "", N(LOOKUP(2, 1/($E$3:E8&lt;&gt;""), $E$3:E8)) + B9 - D9)</f>
        <v>21298</v>
      </c>
    </row>
    <row r="10" spans="1:5" x14ac:dyDescent="0.25">
      <c r="A10" s="3">
        <v>45952</v>
      </c>
      <c r="C10" t="str">
        <f>IF(B10="", "", SUM($B$4:B10))</f>
        <v/>
      </c>
      <c r="D10">
        <v>4000</v>
      </c>
      <c r="E10">
        <f>IF(AND(B10="", D10=""), "", N(LOOKUP(2, 1/($E$3:E9&lt;&gt;""), $E$3:E9)) + B10 - D10)</f>
        <v>17298</v>
      </c>
    </row>
    <row r="11" spans="1:5" x14ac:dyDescent="0.25">
      <c r="A11" s="3">
        <v>45959</v>
      </c>
      <c r="C11" t="str">
        <f>IF(B11="", "", SUM($B$4:B11))</f>
        <v/>
      </c>
      <c r="D11">
        <v>2000</v>
      </c>
      <c r="E11">
        <f>IF(AND(B11="", D11=""), "", N(LOOKUP(2, 1/($E$3:E10&lt;&gt;""), $E$3:E10)) + B11 - D11)</f>
        <v>15298</v>
      </c>
    </row>
    <row r="12" spans="1:5" x14ac:dyDescent="0.25">
      <c r="A12" s="3">
        <v>45966</v>
      </c>
      <c r="B12">
        <v>4800</v>
      </c>
      <c r="C12">
        <f>IF(B12="", "", SUM($B$4:B12))</f>
        <v>58098</v>
      </c>
      <c r="E12">
        <f>IF(AND(B12="", D12=""), "", N(LOOKUP(2, 1/($E$3:E11&lt;&gt;""), $E$3:E11)) + B12 - D12)</f>
        <v>20098</v>
      </c>
    </row>
    <row r="13" spans="1:5" x14ac:dyDescent="0.25">
      <c r="A13" s="3">
        <v>45966</v>
      </c>
      <c r="C13" t="str">
        <f>IF(B13="", "", SUM($B$4:B13))</f>
        <v/>
      </c>
      <c r="D13">
        <v>4000</v>
      </c>
      <c r="E13">
        <f>IF(AND(B13="", D13=""), "", N(LOOKUP(2, 1/($E$3:E12&lt;&gt;""), $E$3:E12)) + B13 - D13)</f>
        <v>16098</v>
      </c>
    </row>
    <row r="14" spans="1:5" x14ac:dyDescent="0.25">
      <c r="A14" s="3">
        <v>45973</v>
      </c>
      <c r="C14" t="str">
        <f>IF(B14="", "", SUM($B$4:B14))</f>
        <v/>
      </c>
      <c r="D14">
        <v>3000</v>
      </c>
      <c r="E14">
        <f>IF(AND(B14="", D14=""), "", N(LOOKUP(2, 1/($E$3:E13&lt;&gt;""), $E$3:E13)) + B14 - D14)</f>
        <v>13098</v>
      </c>
    </row>
    <row r="15" spans="1:5" x14ac:dyDescent="0.25">
      <c r="A15" s="3">
        <v>45980</v>
      </c>
      <c r="C15" t="str">
        <f>IF(B15="", "", SUM($B$4:B15))</f>
        <v/>
      </c>
      <c r="D15">
        <v>2000</v>
      </c>
      <c r="E15">
        <f>IF(AND(B15="", D15=""), "", N(LOOKUP(2, 1/($E$3:E14&lt;&gt;""), $E$3:E14)) + B15 - D15)</f>
        <v>11098</v>
      </c>
    </row>
    <row r="16" spans="1:5" x14ac:dyDescent="0.25">
      <c r="A16" s="3">
        <v>45985</v>
      </c>
      <c r="B16">
        <v>4800</v>
      </c>
      <c r="C16">
        <f>IF(B16="", "", SUM($B$4:B16))</f>
        <v>62898</v>
      </c>
      <c r="E16">
        <f>IF(AND(B16="", D16=""), "", N(LOOKUP(2, 1/($E$3:E15&lt;&gt;""), $E$3:E15)) + B16 - D16)</f>
        <v>15898</v>
      </c>
    </row>
    <row r="17" spans="1:6" x14ac:dyDescent="0.25">
      <c r="A17" s="3">
        <v>45987</v>
      </c>
      <c r="C17" t="str">
        <f>IF(B17="", "", SUM($B$4:B17))</f>
        <v/>
      </c>
      <c r="D17">
        <v>2000</v>
      </c>
      <c r="E17">
        <f>IF(AND(B17="", D17=""), "", N(LOOKUP(2, 1/($E$3:E16&lt;&gt;""), $E$3:E16)) + B17 - D17)</f>
        <v>13898</v>
      </c>
    </row>
    <row r="18" spans="1:6" x14ac:dyDescent="0.25">
      <c r="A18" s="3">
        <v>45994</v>
      </c>
      <c r="C18" t="str">
        <f>IF(B18="", "", SUM($B$4:B18))</f>
        <v/>
      </c>
      <c r="D18">
        <v>1000</v>
      </c>
      <c r="E18">
        <f>IF(AND(B18="", D18=""), "", N(LOOKUP(2, 1/($E$3:E17&lt;&gt;""), $E$3:E17)) + B18 - D18)</f>
        <v>12898</v>
      </c>
    </row>
    <row r="19" spans="1:6" x14ac:dyDescent="0.25">
      <c r="A19" s="3">
        <v>45995</v>
      </c>
      <c r="B19">
        <v>18240</v>
      </c>
      <c r="C19">
        <f>IF(B19="", "", SUM($B$4:B19))</f>
        <v>81138</v>
      </c>
      <c r="E19">
        <f>IF(AND(B19="", D19=""), "", N(LOOKUP(2, 1/($E$3:E18&lt;&gt;""), $E$3:E18)) + B19 - D19)</f>
        <v>31138</v>
      </c>
    </row>
    <row r="20" spans="1:6" x14ac:dyDescent="0.25">
      <c r="A20" s="3">
        <v>46001</v>
      </c>
      <c r="C20" t="str">
        <f>IF(B20="", "", SUM($B$4:B20))</f>
        <v/>
      </c>
      <c r="D20">
        <v>3000</v>
      </c>
      <c r="E20">
        <f>IF(AND(B20="", D20=""), "", N(LOOKUP(2, 1/($E$3:E19&lt;&gt;""), $E$3:E19)) + B20 - D20)</f>
        <v>28138</v>
      </c>
    </row>
    <row r="21" spans="1:6" x14ac:dyDescent="0.25">
      <c r="A21" s="3">
        <v>46008</v>
      </c>
      <c r="C21" t="str">
        <f>IF(B21="", "", SUM($B$4:B21))</f>
        <v/>
      </c>
      <c r="D21">
        <v>3000</v>
      </c>
      <c r="E21">
        <f>IF(AND(B21="", D21=""), "", N(LOOKUP(2, 1/($E$3:E20&lt;&gt;""), $E$3:E20)) + B21 - D21)</f>
        <v>25138</v>
      </c>
    </row>
    <row r="22" spans="1:6" x14ac:dyDescent="0.25">
      <c r="A22" s="3">
        <v>46015</v>
      </c>
      <c r="C22" t="str">
        <f>IF(B22="", "", SUM($B$4:B22))</f>
        <v/>
      </c>
      <c r="D22">
        <v>3000</v>
      </c>
      <c r="E22">
        <f>IF(AND(B22="", D22=""), "", N(LOOKUP(2, 1/($E$3:E21&lt;&gt;""), $E$3:E21)) + B22 - D22)</f>
        <v>22138</v>
      </c>
    </row>
    <row r="23" spans="1:6" x14ac:dyDescent="0.25">
      <c r="A23" s="3">
        <v>46022</v>
      </c>
      <c r="C23" t="str">
        <f>IF(B23="", "", SUM($B$4:B23))</f>
        <v/>
      </c>
      <c r="D23">
        <v>2000</v>
      </c>
      <c r="E23">
        <f>IF(AND(B23="", D23=""), "", N(LOOKUP(2, 1/($E$3:E22&lt;&gt;""), $E$3:E22)) + B23 - D23)</f>
        <v>20138</v>
      </c>
    </row>
    <row r="24" spans="1:6" x14ac:dyDescent="0.25">
      <c r="A24" s="3">
        <v>46026</v>
      </c>
      <c r="B24">
        <v>20100</v>
      </c>
      <c r="C24">
        <f>IF(B24="", "", SUM($B$4:B24))</f>
        <v>101238</v>
      </c>
      <c r="E24">
        <f>IF(AND(B24="", D24=""), "", N(LOOKUP(2, 1/($E$3:E23&lt;&gt;""), $E$3:E23)) + B24 - D24)</f>
        <v>40238</v>
      </c>
    </row>
    <row r="25" spans="1:6" x14ac:dyDescent="0.25">
      <c r="A25" s="3">
        <v>46029</v>
      </c>
      <c r="C25" t="str">
        <f>IF(B25="", "", SUM($B$4:B25))</f>
        <v/>
      </c>
      <c r="D25">
        <v>8076</v>
      </c>
      <c r="E25">
        <f>IF(AND(B25="", D25=""), "", N(LOOKUP(2, 1/($E$3:E24&lt;&gt;""), $E$3:E24)) + B25 - D25)</f>
        <v>32162</v>
      </c>
      <c r="F25" s="4" t="s">
        <v>13</v>
      </c>
    </row>
    <row r="26" spans="1:6" x14ac:dyDescent="0.25">
      <c r="A26" s="3">
        <v>46036</v>
      </c>
      <c r="C26" t="str">
        <f>IF(B26="", "", SUM($B$4:B26))</f>
        <v/>
      </c>
      <c r="D26">
        <v>4000</v>
      </c>
      <c r="E26">
        <f>IF(AND(B26="", D26=""), "", N(LOOKUP(2, 1/($E$3:E25&lt;&gt;""), $E$3:E25)) + B26 - D26)</f>
        <v>28162</v>
      </c>
    </row>
    <row r="27" spans="1:6" x14ac:dyDescent="0.25">
      <c r="A27" s="3">
        <v>46043</v>
      </c>
      <c r="C27" t="str">
        <f>IF(B27="", "", SUM($B$4:B27))</f>
        <v/>
      </c>
      <c r="D27">
        <v>3000</v>
      </c>
      <c r="E27">
        <f>IF(AND(B27="", D27=""), "", N(LOOKUP(2, 1/($E$3:E26&lt;&gt;""), $E$3:E26)) + B27 - D27)</f>
        <v>25162</v>
      </c>
    </row>
    <row r="28" spans="1:6" x14ac:dyDescent="0.25">
      <c r="A28" s="3">
        <v>46050</v>
      </c>
      <c r="C28" t="str">
        <f>IF(B28="", "", SUM($B$4:B28))</f>
        <v/>
      </c>
      <c r="D28">
        <v>3000</v>
      </c>
      <c r="E28">
        <f>IF(AND(B28="", D28=""), "", N(LOOKUP(2, 1/($E$3:E27&lt;&gt;""), $E$3:E27)) + B28 - D28)</f>
        <v>22162</v>
      </c>
    </row>
    <row r="29" spans="1:6" x14ac:dyDescent="0.25">
      <c r="A29" s="3">
        <v>46057</v>
      </c>
      <c r="C29" t="str">
        <f>IF(B29="", "", SUM($B$4:B29))</f>
        <v/>
      </c>
      <c r="D29">
        <v>2000</v>
      </c>
      <c r="E29">
        <f>IF(AND(B29="", D29=""), "", N(LOOKUP(2, 1/($E$3:E28&lt;&gt;""), $E$3:E28)) + B29 - D29)</f>
        <v>20162</v>
      </c>
    </row>
    <row r="30" spans="1:6" x14ac:dyDescent="0.25">
      <c r="A30" s="3">
        <v>46071</v>
      </c>
      <c r="C30" t="str">
        <f>IF(B30="", "", SUM($B$4:B30))</f>
        <v/>
      </c>
      <c r="D30">
        <v>2000</v>
      </c>
      <c r="E30">
        <f>IF(AND(B30="", D30=""), "", N(LOOKUP(2, 1/($E$3:E29&lt;&gt;""), $E$3:E29)) + B30 - D30)</f>
        <v>18162</v>
      </c>
    </row>
    <row r="31" spans="1:6" x14ac:dyDescent="0.25">
      <c r="A31" s="3">
        <v>46092</v>
      </c>
      <c r="C31" t="str">
        <f>IF(B31="", "", SUM($B$4:B31))</f>
        <v/>
      </c>
      <c r="D31">
        <v>3000</v>
      </c>
      <c r="E31">
        <f>IF(AND(B31="", D31=""), "", N(LOOKUP(2, 1/($E$3:E30&lt;&gt;""), $E$3:E30)) + B31 - D31)</f>
        <v>15162</v>
      </c>
    </row>
    <row r="32" spans="1:6" x14ac:dyDescent="0.25">
      <c r="A32" s="3">
        <v>46093</v>
      </c>
      <c r="B32">
        <v>17355</v>
      </c>
      <c r="C32">
        <f>IF(B32="", "", SUM($B$4:B32))</f>
        <v>118593</v>
      </c>
      <c r="E32">
        <f>IF(AND(B32="", D32=""), "", N(LOOKUP(2, 1/($E$3:E31&lt;&gt;""), $E$3:E31)) + B32 - D32)</f>
        <v>32517</v>
      </c>
    </row>
    <row r="33" spans="1:5" x14ac:dyDescent="0.25">
      <c r="A33" s="3">
        <v>46106</v>
      </c>
      <c r="C33" t="str">
        <f>IF(B33="", "", SUM($B$4:B33))</f>
        <v/>
      </c>
      <c r="D33">
        <v>10000</v>
      </c>
      <c r="E33">
        <f>IF(AND(B33="", D33=""), "", N(LOOKUP(2, 1/($E$3:E32&lt;&gt;""), $E$3:E32)) + B33 - D33)</f>
        <v>22517</v>
      </c>
    </row>
    <row r="34" spans="1:5" x14ac:dyDescent="0.25">
      <c r="A34" s="3">
        <v>46107</v>
      </c>
      <c r="B34">
        <v>37121</v>
      </c>
      <c r="C34">
        <f>IF(B34="", "", SUM($B$4:B34))</f>
        <v>155714</v>
      </c>
      <c r="E34">
        <f>IF(AND(B34="", D34=""), "", N(LOOKUP(2, 1/($E$3:E33&lt;&gt;""), $E$3:E33)) + B34 - D34)</f>
        <v>59638</v>
      </c>
    </row>
    <row r="35" spans="1:5" x14ac:dyDescent="0.25">
      <c r="A35" s="3">
        <v>46107</v>
      </c>
      <c r="C35" t="str">
        <f>IF(B35="", "", SUM($B$4:B35))</f>
        <v/>
      </c>
      <c r="D35">
        <v>3000</v>
      </c>
      <c r="E35">
        <f>IF(AND(B35="", D35=""), "", N(LOOKUP(2, 1/($E$3:E34&lt;&gt;""), $E$3:E34)) + B35 - D35)</f>
        <v>56638</v>
      </c>
    </row>
    <row r="36" spans="1:5" x14ac:dyDescent="0.25">
      <c r="A36" s="3">
        <v>46113</v>
      </c>
      <c r="C36" t="str">
        <f>IF(B36="", "", SUM($B$4:B36))</f>
        <v/>
      </c>
      <c r="D36">
        <v>6000</v>
      </c>
      <c r="E36">
        <f>IF(AND(B36="", D36=""), "", N(LOOKUP(2, 1/($E$3:E35&lt;&gt;""), $E$3:E35)) + B36 - D36)</f>
        <v>50638</v>
      </c>
    </row>
    <row r="37" spans="1:5" x14ac:dyDescent="0.25">
      <c r="A37" s="3">
        <v>46120</v>
      </c>
      <c r="C37" t="str">
        <f>IF(B37="", "", SUM($B$4:B37))</f>
        <v/>
      </c>
      <c r="D37">
        <v>5000</v>
      </c>
      <c r="E37">
        <f>IF(AND(B37="", D37=""), "", N(LOOKUP(2, 1/($E$3:E36&lt;&gt;""), $E$3:E36)) + B37 - D37)</f>
        <v>45638</v>
      </c>
    </row>
    <row r="38" spans="1:5" x14ac:dyDescent="0.25">
      <c r="A38" s="3">
        <v>46127</v>
      </c>
      <c r="C38" t="str">
        <f>IF(B38="", "", SUM($B$4:B38))</f>
        <v/>
      </c>
      <c r="D38">
        <v>5000</v>
      </c>
      <c r="E38">
        <f>IF(AND(B38="", D38=""), "", N(LOOKUP(2, 1/($E$3:E37&lt;&gt;""), $E$3:E37)) + B38 - D38)</f>
        <v>40638</v>
      </c>
    </row>
    <row r="39" spans="1:5" x14ac:dyDescent="0.25">
      <c r="A39" s="3">
        <v>46134</v>
      </c>
      <c r="C39" t="str">
        <f>IF(B39="", "", SUM($B$4:B39))</f>
        <v/>
      </c>
      <c r="D39">
        <v>3000</v>
      </c>
      <c r="E39">
        <f>IF(AND(B39="", D39=""), "", N(LOOKUP(2, 1/($E$3:E38&lt;&gt;""), $E$3:E38)) + B39 - D39)</f>
        <v>37638</v>
      </c>
    </row>
    <row r="40" spans="1:5" x14ac:dyDescent="0.25">
      <c r="A40" s="3">
        <v>46135</v>
      </c>
      <c r="B40">
        <v>9240</v>
      </c>
      <c r="C40">
        <f>IF(B40="", "", SUM($B$4:B40))</f>
        <v>164954</v>
      </c>
      <c r="E40">
        <f>IF(AND(B40="", D40=""), "", N(LOOKUP(2, 1/($E$3:E39&lt;&gt;""), $E$3:E39)) + B40 - D40)</f>
        <v>46878</v>
      </c>
    </row>
    <row r="41" spans="1:5" x14ac:dyDescent="0.25">
      <c r="A41" s="3">
        <v>46148</v>
      </c>
      <c r="C41" t="str">
        <f>IF(B41="", "", SUM($B$4:B41))</f>
        <v/>
      </c>
      <c r="D41">
        <v>5000</v>
      </c>
      <c r="E41">
        <f>IF(AND(B41="", D41=""), "", N(LOOKUP(2, 1/($E$3:E40&lt;&gt;""), $E$3:E40)) + B41 - D41)</f>
        <v>41878</v>
      </c>
    </row>
    <row r="42" spans="1:5" x14ac:dyDescent="0.25">
      <c r="A42" s="3">
        <v>46155</v>
      </c>
      <c r="C42" t="str">
        <f>IF(B42="", "", SUM($B$4:B42))</f>
        <v/>
      </c>
      <c r="D42">
        <v>5000</v>
      </c>
      <c r="E42">
        <f>IF(AND(B42="", D42=""), "", N(LOOKUP(2, 1/($E$3:E41&lt;&gt;""), $E$3:E41)) + B42 - D42)</f>
        <v>36878</v>
      </c>
    </row>
    <row r="43" spans="1:5" x14ac:dyDescent="0.25">
      <c r="A43" s="3">
        <v>46162</v>
      </c>
      <c r="C43" t="str">
        <f>IF(B43="", "", SUM($B$4:B43))</f>
        <v/>
      </c>
      <c r="D43">
        <v>5000</v>
      </c>
      <c r="E43">
        <f>IF(AND(B43="", D43=""), "", N(LOOKUP(2, 1/($E$3:E42&lt;&gt;""), $E$3:E42)) + B43 - D43)</f>
        <v>31878</v>
      </c>
    </row>
    <row r="44" spans="1:5" x14ac:dyDescent="0.25">
      <c r="A44" s="3">
        <v>46176</v>
      </c>
      <c r="C44" t="str">
        <f>IF(B44="", "", SUM($B$4:B44))</f>
        <v/>
      </c>
      <c r="D44">
        <v>5000</v>
      </c>
      <c r="E44">
        <f>IF(AND(B44="", D44=""), "", N(LOOKUP(2, 1/($E$3:E43&lt;&gt;""), $E$3:E43)) + B44 - D44)</f>
        <v>26878</v>
      </c>
    </row>
    <row r="45" spans="1:5" x14ac:dyDescent="0.25">
      <c r="A45" s="3">
        <v>46183</v>
      </c>
      <c r="C45" t="str">
        <f>IF(B45="", "", SUM($B$4:B45))</f>
        <v/>
      </c>
      <c r="D45">
        <v>2000</v>
      </c>
      <c r="E45">
        <f>IF(AND(B45="", D45=""), "", N(LOOKUP(2, 1/($E$3:E44&lt;&gt;""), $E$3:E44)) + B45 - D45)</f>
        <v>24878</v>
      </c>
    </row>
    <row r="46" spans="1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1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3805-6C48-40AB-8A3C-7D994F6FCB62}">
  <dimension ref="A1:H102"/>
  <sheetViews>
    <sheetView workbookViewId="0">
      <pane ySplit="3" topLeftCell="A6" activePane="bottomLeft" state="frozen"/>
      <selection pane="bottomLeft"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8" x14ac:dyDescent="0.25">
      <c r="A1" s="25" t="str">
        <f>HYPERLINK("#'Home'!A1", "Home")</f>
        <v>Home</v>
      </c>
      <c r="B1" s="24" t="s">
        <v>14</v>
      </c>
      <c r="C1" s="24"/>
      <c r="D1" s="24"/>
      <c r="E1" s="24"/>
    </row>
    <row r="2" spans="1:8" x14ac:dyDescent="0.25">
      <c r="A2" s="25"/>
      <c r="B2" s="24"/>
      <c r="C2" s="24"/>
      <c r="D2" s="24"/>
      <c r="E2" s="24"/>
    </row>
    <row r="3" spans="1:8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8" x14ac:dyDescent="0.25">
      <c r="A4" s="3">
        <v>45910</v>
      </c>
      <c r="B4">
        <v>7282</v>
      </c>
      <c r="C4">
        <f>IF(B4="", "", SUM($B$4:B4))</f>
        <v>7282</v>
      </c>
      <c r="E4">
        <f>IF(AND(B4="", D4=""), "", N(LOOKUP(2, 1/($E$3:E3&lt;&gt;""), $E$3:E3)) + B4 - D4)</f>
        <v>7282</v>
      </c>
    </row>
    <row r="5" spans="1:8" x14ac:dyDescent="0.25">
      <c r="A5" s="3">
        <v>45931</v>
      </c>
      <c r="C5" t="str">
        <f>IF(B5="", "", SUM($B$4:B5))</f>
        <v/>
      </c>
      <c r="D5">
        <v>2000</v>
      </c>
      <c r="E5">
        <f>IF(AND(B5="", D5=""), "", N(LOOKUP(2, 1/($E$3:E4&lt;&gt;""), $E$3:E4)) + B5 - D5)</f>
        <v>5282</v>
      </c>
    </row>
    <row r="6" spans="1:8" x14ac:dyDescent="0.25">
      <c r="A6" s="3">
        <v>45945</v>
      </c>
      <c r="C6" t="str">
        <f>IF(B6="", "", SUM($B$4:B6))</f>
        <v/>
      </c>
      <c r="D6">
        <v>2000</v>
      </c>
      <c r="E6">
        <f>IF(AND(B6="", D6=""), "", N(LOOKUP(2, 1/($E$3:E5&lt;&gt;""), $E$3:E5)) + B6 - D6)</f>
        <v>3282</v>
      </c>
    </row>
    <row r="7" spans="1:8" x14ac:dyDescent="0.25">
      <c r="A7" s="3">
        <v>45957</v>
      </c>
      <c r="B7">
        <v>9600</v>
      </c>
      <c r="C7">
        <f>IF(B7="", "", SUM($B$4:B7))</f>
        <v>16882</v>
      </c>
      <c r="E7">
        <f>IF(AND(B7="", D7=""), "", N(LOOKUP(2, 1/($E$3:E6&lt;&gt;""), $E$3:E6)) + B7 - D7)</f>
        <v>12882</v>
      </c>
    </row>
    <row r="8" spans="1:8" x14ac:dyDescent="0.25">
      <c r="A8" s="3">
        <v>45959</v>
      </c>
      <c r="C8" t="str">
        <f>IF(B8="", "", SUM($B$4:B8))</f>
        <v/>
      </c>
      <c r="D8">
        <v>2000</v>
      </c>
      <c r="E8">
        <f>IF(AND(B8="", D8=""), "", N(LOOKUP(2, 1/($E$3:E7&lt;&gt;""), $E$3:E7)) + B8 - D8)</f>
        <v>10882</v>
      </c>
    </row>
    <row r="9" spans="1:8" x14ac:dyDescent="0.25">
      <c r="A9" s="3">
        <v>45966</v>
      </c>
      <c r="C9" t="str">
        <f>IF(B9="", "", SUM($B$4:B9))</f>
        <v/>
      </c>
      <c r="D9">
        <v>1000</v>
      </c>
      <c r="E9">
        <f>IF(AND(B9="", D9=""), "", N(LOOKUP(2, 1/($E$3:E8&lt;&gt;""), $E$3:E8)) + B9 - D9)</f>
        <v>9882</v>
      </c>
    </row>
    <row r="10" spans="1:8" x14ac:dyDescent="0.25">
      <c r="A10" s="3">
        <v>45973</v>
      </c>
      <c r="C10" t="str">
        <f>IF(B10="", "", SUM($B$4:B10))</f>
        <v/>
      </c>
      <c r="D10">
        <v>1000</v>
      </c>
      <c r="E10">
        <f>IF(AND(B10="", D10=""), "", N(LOOKUP(2, 1/($E$3:E9&lt;&gt;""), $E$3:E9)) + B10 - D10)</f>
        <v>8882</v>
      </c>
      <c r="H10" t="s">
        <v>37</v>
      </c>
    </row>
    <row r="11" spans="1:8" x14ac:dyDescent="0.25">
      <c r="A11" s="3">
        <v>45987</v>
      </c>
      <c r="C11" t="str">
        <f>IF(B11="", "", SUM($B$4:B11))</f>
        <v/>
      </c>
      <c r="D11">
        <v>1000</v>
      </c>
      <c r="E11">
        <f>IF(AND(B11="", D11=""), "", N(LOOKUP(2, 1/($E$3:E10&lt;&gt;""), $E$3:E10)) + B11 - D11)</f>
        <v>7882</v>
      </c>
    </row>
    <row r="12" spans="1:8" x14ac:dyDescent="0.25">
      <c r="A12" s="3">
        <v>46001</v>
      </c>
      <c r="C12" t="str">
        <f>IF(B12="", "", SUM($B$4:B12))</f>
        <v/>
      </c>
      <c r="D12">
        <v>1000</v>
      </c>
      <c r="E12">
        <f>IF(AND(B12="", D12=""), "", N(LOOKUP(2, 1/($E$3:E11&lt;&gt;""), $E$3:E11)) + B12 - D12)</f>
        <v>6882</v>
      </c>
    </row>
    <row r="13" spans="1:8" x14ac:dyDescent="0.25">
      <c r="A13" s="3">
        <v>46029</v>
      </c>
      <c r="C13" t="str">
        <f>IF(B13="", "", SUM($B$4:B13))</f>
        <v/>
      </c>
      <c r="D13">
        <v>1000</v>
      </c>
      <c r="E13">
        <f>IF(AND(B13="", D13=""), "", N(LOOKUP(2, 1/($E$3:E12&lt;&gt;""), $E$3:E12)) + B13 - D13)</f>
        <v>5882</v>
      </c>
    </row>
    <row r="14" spans="1:8" x14ac:dyDescent="0.25">
      <c r="A14" s="3">
        <v>46043</v>
      </c>
      <c r="C14" t="str">
        <f>IF(B14="", "", SUM($B$4:B14))</f>
        <v/>
      </c>
      <c r="D14">
        <v>1000</v>
      </c>
      <c r="E14">
        <f>IF(AND(B14="", D14=""), "", N(LOOKUP(2, 1/($E$3:E13&lt;&gt;""), $E$3:E13)) + B14 - D14)</f>
        <v>4882</v>
      </c>
    </row>
    <row r="15" spans="1:8" x14ac:dyDescent="0.25">
      <c r="A15" s="3">
        <v>46050</v>
      </c>
      <c r="C15" t="str">
        <f>IF(B15="", "", SUM($B$4:B15))</f>
        <v/>
      </c>
      <c r="D15">
        <v>1000</v>
      </c>
      <c r="E15">
        <f>IF(AND(B15="", D15=""), "", N(LOOKUP(2, 1/($E$3:E14&lt;&gt;""), $E$3:E14)) + B15 - D15)</f>
        <v>3882</v>
      </c>
    </row>
    <row r="16" spans="1:8" x14ac:dyDescent="0.25">
      <c r="A16" s="3">
        <v>46078</v>
      </c>
      <c r="C16" t="str">
        <f>IF(B16="", "", SUM($B$4:B16))</f>
        <v/>
      </c>
      <c r="D16">
        <v>1000</v>
      </c>
      <c r="E16">
        <f>IF(AND(B16="", D16=""), "", N(LOOKUP(2, 1/($E$3:E15&lt;&gt;""), $E$3:E15)) + B16 - D16)</f>
        <v>2882</v>
      </c>
    </row>
    <row r="17" spans="1:5" x14ac:dyDescent="0.25">
      <c r="A17" s="3">
        <v>46107</v>
      </c>
      <c r="B17">
        <v>17600</v>
      </c>
      <c r="C17">
        <f>IF(B17="", "", SUM($B$4:B17))</f>
        <v>34482</v>
      </c>
      <c r="E17">
        <f>IF(AND(B17="", D17=""), "", N(LOOKUP(2, 1/($E$3:E16&lt;&gt;""), $E$3:E16)) + B17 - D17)</f>
        <v>20482</v>
      </c>
    </row>
    <row r="18" spans="1:5" x14ac:dyDescent="0.25">
      <c r="A18" s="3">
        <v>46107</v>
      </c>
      <c r="C18" t="str">
        <f>IF(B18="", "", SUM($B$4:B18))</f>
        <v/>
      </c>
      <c r="D18">
        <v>8000</v>
      </c>
      <c r="E18">
        <f>IF(AND(B18="", D18=""), "", N(LOOKUP(2, 1/($E$3:E17&lt;&gt;""), $E$3:E17)) + B18 - D18)</f>
        <v>12482</v>
      </c>
    </row>
    <row r="19" spans="1:5" x14ac:dyDescent="0.25">
      <c r="A19" s="3">
        <v>46113</v>
      </c>
      <c r="C19" t="str">
        <f>IF(B19="", "", SUM($B$4:B19))</f>
        <v/>
      </c>
      <c r="D19">
        <v>2000</v>
      </c>
      <c r="E19">
        <f>IF(AND(B19="", D19=""), "", N(LOOKUP(2, 1/($E$3:E18&lt;&gt;""), $E$3:E18)) + B19 - D19)</f>
        <v>10482</v>
      </c>
    </row>
    <row r="20" spans="1:5" x14ac:dyDescent="0.25">
      <c r="A20" s="3">
        <v>46114</v>
      </c>
      <c r="B20">
        <v>20790</v>
      </c>
      <c r="C20">
        <f>IF(B20="", "", SUM($B$4:B20))</f>
        <v>55272</v>
      </c>
      <c r="E20">
        <f>IF(AND(B20="", D20=""), "", N(LOOKUP(2, 1/($E$3:E19&lt;&gt;""), $E$3:E19)) + B20 - D20)</f>
        <v>31272</v>
      </c>
    </row>
    <row r="21" spans="1:5" x14ac:dyDescent="0.25">
      <c r="A21" s="3">
        <v>46120</v>
      </c>
      <c r="C21" t="str">
        <f>IF(B21="", "", SUM($B$4:B21))</f>
        <v/>
      </c>
      <c r="D21">
        <v>3000</v>
      </c>
      <c r="E21">
        <f>IF(AND(B21="", D21=""), "", N(LOOKUP(2, 1/($E$3:E20&lt;&gt;""), $E$3:E20)) + B21 - D21)</f>
        <v>28272</v>
      </c>
    </row>
    <row r="22" spans="1:5" x14ac:dyDescent="0.25">
      <c r="A22" s="3">
        <v>46134</v>
      </c>
      <c r="C22" t="str">
        <f>IF(B22="", "", SUM($B$4:B22))</f>
        <v/>
      </c>
      <c r="D22">
        <v>3000</v>
      </c>
      <c r="E22">
        <f>IF(AND(B22="", D22=""), "", N(LOOKUP(2, 1/($E$3:E21&lt;&gt;""), $E$3:E21)) + B22 - D22)</f>
        <v>25272</v>
      </c>
    </row>
    <row r="23" spans="1:5" x14ac:dyDescent="0.25">
      <c r="A23" s="3">
        <v>46148</v>
      </c>
      <c r="C23" t="str">
        <f>IF(B23="", "", SUM($B$4:B23))</f>
        <v/>
      </c>
      <c r="D23">
        <v>2500</v>
      </c>
      <c r="E23">
        <f>IF(AND(B23="", D23=""), "", N(LOOKUP(2, 1/($E$3:E22&lt;&gt;""), $E$3:E22)) + B23 - D23)</f>
        <v>22772</v>
      </c>
    </row>
    <row r="24" spans="1:5" x14ac:dyDescent="0.25">
      <c r="A24" s="3">
        <v>46152</v>
      </c>
      <c r="B24">
        <v>8344</v>
      </c>
      <c r="C24">
        <f>IF(B24="", "", SUM($B$4:B24))</f>
        <v>63616</v>
      </c>
      <c r="E24">
        <f>IF(AND(B24="", D24=""), "", N(LOOKUP(2, 1/($E$3:E23&lt;&gt;""), $E$3:E23)) + B24 - D24)</f>
        <v>31116</v>
      </c>
    </row>
    <row r="25" spans="1:5" x14ac:dyDescent="0.25">
      <c r="A25" s="3">
        <v>46152</v>
      </c>
      <c r="C25" t="str">
        <f>IF(B25="", "", SUM($B$4:B25))</f>
        <v/>
      </c>
      <c r="D25">
        <v>3000</v>
      </c>
      <c r="E25">
        <f>IF(AND(B25="", D25=""), "", N(LOOKUP(2, 1/($E$3:E24&lt;&gt;""), $E$3:E24)) + B25 - D25)</f>
        <v>28116</v>
      </c>
    </row>
    <row r="26" spans="1:5" x14ac:dyDescent="0.25">
      <c r="A26" s="3">
        <v>46155</v>
      </c>
      <c r="C26" t="str">
        <f>IF(B26="", "", SUM($B$4:B26))</f>
        <v/>
      </c>
      <c r="D26">
        <v>2000</v>
      </c>
      <c r="E26">
        <f>IF(AND(B26="", D26=""), "", N(LOOKUP(2, 1/($E$3:E25&lt;&gt;""), $E$3:E25)) + B26 - D26)</f>
        <v>26116</v>
      </c>
    </row>
    <row r="27" spans="1:5" x14ac:dyDescent="0.25">
      <c r="A27" s="3">
        <v>46176</v>
      </c>
      <c r="C27" t="str">
        <f>IF(B27="", "", SUM($B$4:B27))</f>
        <v/>
      </c>
      <c r="D27">
        <v>2000</v>
      </c>
      <c r="E27">
        <f>IF(AND(B27="", D27=""), "", N(LOOKUP(2, 1/($E$3:E26&lt;&gt;""), $E$3:E26)) + B27 - D27)</f>
        <v>24116</v>
      </c>
    </row>
    <row r="28" spans="1:5" x14ac:dyDescent="0.25">
      <c r="A28" s="3">
        <v>46183</v>
      </c>
      <c r="C28" t="str">
        <f>IF(B28="", "", SUM($B$4:B28))</f>
        <v/>
      </c>
      <c r="D28">
        <v>2000</v>
      </c>
      <c r="E28">
        <f>IF(AND(B28="", D28=""), "", N(LOOKUP(2, 1/($E$3:E27&lt;&gt;""), $E$3:E27)) + B28 - D28)</f>
        <v>22116</v>
      </c>
    </row>
    <row r="29" spans="1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1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1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1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FC23-C7AB-4FAE-B909-48C7F41E3EFF}">
  <dimension ref="A1:F102"/>
  <sheetViews>
    <sheetView workbookViewId="0">
      <pane ySplit="3" topLeftCell="A12" activePane="bottomLeft" state="frozen"/>
      <selection pane="bottomLeft"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x14ac:dyDescent="0.25">
      <c r="A1" s="25" t="str">
        <f>HYPERLINK("#'Home'!A1", "Home")</f>
        <v>Home</v>
      </c>
      <c r="B1" s="24" t="s">
        <v>15</v>
      </c>
      <c r="C1" s="24"/>
      <c r="D1" s="24"/>
      <c r="E1" s="24"/>
    </row>
    <row r="2" spans="1:5" x14ac:dyDescent="0.25">
      <c r="A2" s="25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45910</v>
      </c>
      <c r="B4">
        <v>20704</v>
      </c>
      <c r="C4">
        <f>IF(B4="", "", SUM($B$4:B4))</f>
        <v>20704</v>
      </c>
      <c r="E4">
        <f>IF(AND(B4="", D4=""), "", N(LOOKUP(2, 1/($E$3:E3&lt;&gt;""), $E$3:E3)) + B4 - D4)</f>
        <v>20704</v>
      </c>
    </row>
    <row r="5" spans="1:5" x14ac:dyDescent="0.25">
      <c r="A5" s="3">
        <v>45924</v>
      </c>
      <c r="C5" t="str">
        <f>IF(B5="", "", SUM($B$4:B5))</f>
        <v/>
      </c>
      <c r="D5">
        <v>2000</v>
      </c>
      <c r="E5">
        <f>IF(AND(B5="", D5=""), "", N(LOOKUP(2, 1/($E$3:E4&lt;&gt;""), $E$3:E4)) + B5 - D5)</f>
        <v>18704</v>
      </c>
    </row>
    <row r="6" spans="1:5" x14ac:dyDescent="0.25">
      <c r="A6" s="3">
        <v>45938</v>
      </c>
      <c r="C6" t="str">
        <f>IF(B6="", "", SUM($B$4:B6))</f>
        <v/>
      </c>
      <c r="D6">
        <v>2000</v>
      </c>
      <c r="E6">
        <f>IF(AND(B6="", D6=""), "", N(LOOKUP(2, 1/($E$3:E5&lt;&gt;""), $E$3:E5)) + B6 - D6)</f>
        <v>16704</v>
      </c>
    </row>
    <row r="7" spans="1:5" x14ac:dyDescent="0.25">
      <c r="A7" s="3">
        <v>45945</v>
      </c>
      <c r="C7" t="str">
        <f>IF(B7="", "", SUM($B$4:B7))</f>
        <v/>
      </c>
      <c r="D7">
        <v>2000</v>
      </c>
      <c r="E7">
        <f>IF(AND(B7="", D7=""), "", N(LOOKUP(2, 1/($E$3:E6&lt;&gt;""), $E$3:E6)) + B7 - D7)</f>
        <v>14704</v>
      </c>
    </row>
    <row r="8" spans="1:5" x14ac:dyDescent="0.25">
      <c r="A8" s="3">
        <v>45957</v>
      </c>
      <c r="B8">
        <v>29200</v>
      </c>
      <c r="C8">
        <f>IF(B8="", "", SUM($B$4:B8))</f>
        <v>49904</v>
      </c>
      <c r="E8">
        <f>IF(AND(B8="", D8=""), "", N(LOOKUP(2, 1/($E$3:E7&lt;&gt;""), $E$3:E7)) + B8 - D8)</f>
        <v>43904</v>
      </c>
    </row>
    <row r="9" spans="1:5" x14ac:dyDescent="0.25">
      <c r="A9" s="3">
        <v>45959</v>
      </c>
      <c r="C9" t="str">
        <f>IF(B9="", "", SUM($B$4:B9))</f>
        <v/>
      </c>
      <c r="D9">
        <v>3000</v>
      </c>
      <c r="E9">
        <f>IF(AND(B9="", D9=""), "", N(LOOKUP(2, 1/($E$3:E8&lt;&gt;""), $E$3:E8)) + B9 - D9)</f>
        <v>40904</v>
      </c>
    </row>
    <row r="10" spans="1:5" x14ac:dyDescent="0.25">
      <c r="A10" s="3">
        <v>45966</v>
      </c>
      <c r="C10" t="str">
        <f>IF(B10="", "", SUM($B$4:B10))</f>
        <v/>
      </c>
      <c r="D10">
        <v>3000</v>
      </c>
      <c r="E10">
        <f>IF(AND(B10="", D10=""), "", N(LOOKUP(2, 1/($E$3:E9&lt;&gt;""), $E$3:E9)) + B10 - D10)</f>
        <v>37904</v>
      </c>
    </row>
    <row r="11" spans="1:5" x14ac:dyDescent="0.25">
      <c r="A11" s="3">
        <v>45973</v>
      </c>
      <c r="C11" t="str">
        <f>IF(B11="", "", SUM($B$4:B11))</f>
        <v/>
      </c>
      <c r="D11">
        <v>3000</v>
      </c>
      <c r="E11">
        <f>IF(AND(B11="", D11=""), "", N(LOOKUP(2, 1/($E$3:E10&lt;&gt;""), $E$3:E10)) + B11 - D11)</f>
        <v>34904</v>
      </c>
    </row>
    <row r="12" spans="1:5" x14ac:dyDescent="0.25">
      <c r="A12" s="3">
        <v>45985</v>
      </c>
      <c r="B12">
        <v>4800</v>
      </c>
      <c r="C12">
        <f>IF(B12="", "", SUM($B$4:B12))</f>
        <v>54704</v>
      </c>
      <c r="E12">
        <f>IF(AND(B12="", D12=""), "", N(LOOKUP(2, 1/($E$3:E11&lt;&gt;""), $E$3:E11)) + B12 - D12)</f>
        <v>39704</v>
      </c>
    </row>
    <row r="13" spans="1:5" x14ac:dyDescent="0.25">
      <c r="A13" s="3">
        <v>45987</v>
      </c>
      <c r="C13" t="str">
        <f>IF(B13="", "", SUM($B$4:B13))</f>
        <v/>
      </c>
      <c r="D13">
        <v>2000</v>
      </c>
      <c r="E13">
        <f>IF(AND(B13="", D13=""), "", N(LOOKUP(2, 1/($E$3:E12&lt;&gt;""), $E$3:E12)) + B13 - D13)</f>
        <v>37704</v>
      </c>
    </row>
    <row r="14" spans="1:5" x14ac:dyDescent="0.25">
      <c r="A14" s="3">
        <v>45994</v>
      </c>
      <c r="C14" t="str">
        <f>IF(B14="", "", SUM($B$4:B14))</f>
        <v/>
      </c>
      <c r="D14">
        <v>2000</v>
      </c>
      <c r="E14">
        <f>IF(AND(B14="", D14=""), "", N(LOOKUP(2, 1/($E$3:E13&lt;&gt;""), $E$3:E13)) + B14 - D14)</f>
        <v>35704</v>
      </c>
    </row>
    <row r="15" spans="1:5" x14ac:dyDescent="0.25">
      <c r="A15" s="3">
        <v>45995</v>
      </c>
      <c r="B15">
        <v>15890</v>
      </c>
      <c r="C15">
        <f>IF(B15="", "", SUM($B$4:B15))</f>
        <v>70594</v>
      </c>
      <c r="E15">
        <f>IF(AND(B15="", D15=""), "", N(LOOKUP(2, 1/($E$3:E14&lt;&gt;""), $E$3:E14)) + B15 - D15)</f>
        <v>51594</v>
      </c>
    </row>
    <row r="16" spans="1:5" x14ac:dyDescent="0.25">
      <c r="A16" s="3">
        <v>46001</v>
      </c>
      <c r="C16" t="str">
        <f>IF(B16="", "", SUM($B$4:B16))</f>
        <v/>
      </c>
      <c r="D16">
        <v>3000</v>
      </c>
      <c r="E16">
        <f>IF(AND(B16="", D16=""), "", N(LOOKUP(2, 1/($E$3:E15&lt;&gt;""), $E$3:E15)) + B16 - D16)</f>
        <v>48594</v>
      </c>
    </row>
    <row r="17" spans="1:6" x14ac:dyDescent="0.25">
      <c r="A17" s="3">
        <v>46008</v>
      </c>
      <c r="C17" t="str">
        <f>IF(B17="", "", SUM($B$4:B17))</f>
        <v/>
      </c>
      <c r="D17">
        <v>2000</v>
      </c>
      <c r="E17">
        <f>IF(AND(B17="", D17=""), "", N(LOOKUP(2, 1/($E$3:E16&lt;&gt;""), $E$3:E16)) + B17 - D17)</f>
        <v>46594</v>
      </c>
    </row>
    <row r="18" spans="1:6" x14ac:dyDescent="0.25">
      <c r="A18" s="3">
        <v>46015</v>
      </c>
      <c r="C18" t="str">
        <f>IF(B18="", "", SUM($B$4:B18))</f>
        <v/>
      </c>
      <c r="D18">
        <v>2000</v>
      </c>
      <c r="E18">
        <f>IF(AND(B18="", D18=""), "", N(LOOKUP(2, 1/($E$3:E17&lt;&gt;""), $E$3:E17)) + B18 - D18)</f>
        <v>44594</v>
      </c>
    </row>
    <row r="19" spans="1:6" x14ac:dyDescent="0.25">
      <c r="A19" s="3">
        <v>46022</v>
      </c>
      <c r="C19" t="str">
        <f>IF(B19="", "", SUM($B$4:B19))</f>
        <v/>
      </c>
      <c r="D19">
        <v>3000</v>
      </c>
      <c r="E19">
        <f>IF(AND(B19="", D19=""), "", N(LOOKUP(2, 1/($E$3:E18&lt;&gt;""), $E$3:E18)) + B19 - D19)</f>
        <v>41594</v>
      </c>
    </row>
    <row r="20" spans="1:6" x14ac:dyDescent="0.25">
      <c r="A20" s="3">
        <v>46031</v>
      </c>
      <c r="C20" t="str">
        <f>IF(B20="", "", SUM($B$4:B20))</f>
        <v/>
      </c>
      <c r="D20">
        <v>2000</v>
      </c>
      <c r="E20">
        <f>IF(AND(B20="", D20=""), "", N(LOOKUP(2, 1/($E$3:E19&lt;&gt;""), $E$3:E19)) + B20 - D20)</f>
        <v>39594</v>
      </c>
    </row>
    <row r="21" spans="1:6" x14ac:dyDescent="0.25">
      <c r="A21" s="3">
        <v>46038</v>
      </c>
      <c r="C21" t="str">
        <f>IF(B21="", "", SUM($B$4:B21))</f>
        <v/>
      </c>
      <c r="D21">
        <v>3000</v>
      </c>
      <c r="E21">
        <f>IF(AND(B21="", D21=""), "", N(LOOKUP(2, 1/($E$3:E20&lt;&gt;""), $E$3:E20)) + B21 - D21)</f>
        <v>36594</v>
      </c>
    </row>
    <row r="22" spans="1:6" x14ac:dyDescent="0.25">
      <c r="A22" s="3">
        <v>46050</v>
      </c>
      <c r="C22" t="str">
        <f>IF(B22="", "", SUM($B$4:B22))</f>
        <v/>
      </c>
      <c r="D22">
        <v>2000</v>
      </c>
      <c r="E22">
        <f>IF(AND(B22="", D22=""), "", N(LOOKUP(2, 1/($E$3:E21&lt;&gt;""), $E$3:E21)) + B22 - D22)</f>
        <v>34594</v>
      </c>
    </row>
    <row r="23" spans="1:6" x14ac:dyDescent="0.25">
      <c r="A23" s="3">
        <v>46078</v>
      </c>
      <c r="C23" t="str">
        <f>IF(B23="", "", SUM($B$4:B23))</f>
        <v/>
      </c>
      <c r="D23">
        <v>2000</v>
      </c>
      <c r="E23">
        <f>IF(AND(B23="", D23=""), "", N(LOOKUP(2, 1/($E$3:E22&lt;&gt;""), $E$3:E22)) + B23 - D23)</f>
        <v>32594</v>
      </c>
    </row>
    <row r="24" spans="1:6" x14ac:dyDescent="0.25">
      <c r="A24" s="3">
        <v>46113</v>
      </c>
      <c r="C24" t="str">
        <f>IF(B24="", "", SUM($B$4:B24))</f>
        <v/>
      </c>
      <c r="D24">
        <v>1000</v>
      </c>
      <c r="E24">
        <f>IF(AND(B24="", D24=""), "", N(LOOKUP(2, 1/($E$3:E23&lt;&gt;""), $E$3:E23)) + B24 - D24)</f>
        <v>31594</v>
      </c>
    </row>
    <row r="25" spans="1:6" x14ac:dyDescent="0.25">
      <c r="A25" s="3">
        <v>46120</v>
      </c>
      <c r="C25" t="str">
        <f>IF(B25="", "", SUM($B$4:B25))</f>
        <v/>
      </c>
      <c r="D25">
        <v>500</v>
      </c>
      <c r="E25">
        <f>IF(AND(B25="", D25=""), "", N(LOOKUP(2, 1/($E$3:E24&lt;&gt;""), $E$3:E24)) + B25 - D25)</f>
        <v>31094</v>
      </c>
    </row>
    <row r="26" spans="1:6" x14ac:dyDescent="0.25">
      <c r="A26" s="3">
        <v>46127</v>
      </c>
      <c r="C26" t="str">
        <f>IF(B26="", "", SUM($B$4:B26))</f>
        <v/>
      </c>
      <c r="D26">
        <v>1000</v>
      </c>
      <c r="E26">
        <f>IF(AND(B26="", D26=""), "", N(LOOKUP(2, 1/($E$3:E25&lt;&gt;""), $E$3:E25)) + B26 - D26)</f>
        <v>30094</v>
      </c>
    </row>
    <row r="27" spans="1:6" x14ac:dyDescent="0.25">
      <c r="A27" s="3">
        <v>46141</v>
      </c>
      <c r="C27" t="str">
        <f>IF(B27="", "", SUM($B$4:B27))</f>
        <v/>
      </c>
      <c r="D27">
        <v>3000</v>
      </c>
      <c r="E27">
        <f>IF(AND(B27="", D27=""), "", N(LOOKUP(2, 1/($E$3:E26&lt;&gt;""), $E$3:E26)) + B27 - D27)</f>
        <v>27094</v>
      </c>
    </row>
    <row r="28" spans="1:6" x14ac:dyDescent="0.25">
      <c r="A28" s="3">
        <v>46148</v>
      </c>
      <c r="C28" t="str">
        <f>IF(B28="", "", SUM($B$4:B28))</f>
        <v/>
      </c>
      <c r="D28">
        <v>2000</v>
      </c>
      <c r="E28">
        <f>IF(AND(B28="", D28=""), "", N(LOOKUP(2, 1/($E$3:E27&lt;&gt;""), $E$3:E27)) + B28 - D28)</f>
        <v>25094</v>
      </c>
    </row>
    <row r="29" spans="1:6" x14ac:dyDescent="0.25">
      <c r="A29" s="3">
        <v>46152</v>
      </c>
      <c r="B29">
        <v>13480</v>
      </c>
      <c r="C29">
        <f>IF(B29="", "", SUM($B$4:B29))</f>
        <v>84074</v>
      </c>
      <c r="E29">
        <f>IF(AND(B29="", D29=""), "", N(LOOKUP(2, 1/($E$3:E28&lt;&gt;""), $E$3:E28)) + B29 - D29)</f>
        <v>38574</v>
      </c>
    </row>
    <row r="30" spans="1:6" x14ac:dyDescent="0.25">
      <c r="A30" s="3">
        <v>46155</v>
      </c>
      <c r="C30" t="str">
        <f>IF(B30="", "", SUM($B$4:B30))</f>
        <v/>
      </c>
      <c r="D30">
        <v>3000</v>
      </c>
      <c r="E30">
        <f>IF(AND(B30="", D30=""), "", N(LOOKUP(2, 1/($E$3:E29&lt;&gt;""), $E$3:E29)) + B30 - D30)</f>
        <v>35574</v>
      </c>
    </row>
    <row r="31" spans="1:6" x14ac:dyDescent="0.25">
      <c r="A31" s="3">
        <v>46162</v>
      </c>
      <c r="C31" t="str">
        <f>IF(B31="", "", SUM($B$4:B31))</f>
        <v/>
      </c>
      <c r="D31">
        <v>3000</v>
      </c>
      <c r="E31">
        <f>IF(AND(B31="", D31=""), "", N(LOOKUP(2, 1/($E$3:E30&lt;&gt;""), $E$3:E30)) + B31 - D31)</f>
        <v>32574</v>
      </c>
      <c r="F31" s="4" t="s">
        <v>53</v>
      </c>
    </row>
    <row r="32" spans="1:6" x14ac:dyDescent="0.25">
      <c r="A32" s="3">
        <v>46176</v>
      </c>
      <c r="C32" t="str">
        <f>IF(B32="", "", SUM($B$4:B32))</f>
        <v/>
      </c>
      <c r="D32">
        <v>2000</v>
      </c>
      <c r="E32">
        <f>IF(AND(B32="", D32=""), "", N(LOOKUP(2, 1/($E$3:E31&lt;&gt;""), $E$3:E31)) + B32 - D32)</f>
        <v>30574</v>
      </c>
    </row>
    <row r="33" spans="1:6" x14ac:dyDescent="0.25">
      <c r="A33" s="3">
        <v>46183</v>
      </c>
      <c r="C33" t="str">
        <f>IF(B33="", "", SUM($B$4:B33))</f>
        <v/>
      </c>
      <c r="D33">
        <v>3000</v>
      </c>
      <c r="E33">
        <f>IF(AND(B33="", D33=""), "", N(LOOKUP(2, 1/($E$3:E32&lt;&gt;""), $E$3:E32)) + B33 - D33)</f>
        <v>27574</v>
      </c>
    </row>
    <row r="34" spans="1:6" x14ac:dyDescent="0.25">
      <c r="A34" s="3">
        <v>46187</v>
      </c>
      <c r="C34" t="str">
        <f>IF(B34="", "", SUM($B$4:B34))</f>
        <v/>
      </c>
      <c r="D34">
        <v>2000</v>
      </c>
      <c r="E34">
        <f>IF(AND(B34="", D34=""), "", N(LOOKUP(2, 1/($E$3:E33&lt;&gt;""), $E$3:E33)) + B34 - D34)</f>
        <v>25574</v>
      </c>
      <c r="F34" s="4" t="s">
        <v>53</v>
      </c>
    </row>
    <row r="35" spans="1:6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1:6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1:6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1:6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1:6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1:6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1:6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1:6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1:6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1:6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1:6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1:6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1:6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6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BD5F-8FBA-49AA-B2A2-5E74286BF267}">
  <dimension ref="A1:F102"/>
  <sheetViews>
    <sheetView workbookViewId="0">
      <pane ySplit="3" topLeftCell="A5" activePane="bottomLeft" state="frozen"/>
      <selection pane="bottomLeft" activeCell="F37" sqref="F37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x14ac:dyDescent="0.25">
      <c r="A1" s="25"/>
      <c r="B1" s="24" t="s">
        <v>16</v>
      </c>
      <c r="C1" s="24"/>
      <c r="D1" s="24"/>
      <c r="E1" s="24"/>
    </row>
    <row r="2" spans="1:5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45910</v>
      </c>
      <c r="B4">
        <v>3780</v>
      </c>
      <c r="C4">
        <f>IF(B4="", "", SUM($B$4:B4))</f>
        <v>3780</v>
      </c>
      <c r="E4">
        <f>IF(AND(B4="", D4=""), "", N(LOOKUP(2, 1/($E$3:E3&lt;&gt;""), $E$3:E3)) + B4 - D4)</f>
        <v>3780</v>
      </c>
    </row>
    <row r="5" spans="1:5" x14ac:dyDescent="0.25">
      <c r="A5" s="3">
        <v>45924</v>
      </c>
      <c r="C5" t="str">
        <f>IF(B5="", "", SUM($B$4:B5))</f>
        <v/>
      </c>
      <c r="D5">
        <v>2000</v>
      </c>
      <c r="E5">
        <f>IF(AND(B5="", D5=""), "", N(LOOKUP(2, 1/($E$3:E4&lt;&gt;""), $E$3:E4)) + B5 - D5)</f>
        <v>1780</v>
      </c>
    </row>
    <row r="6" spans="1:5" x14ac:dyDescent="0.25">
      <c r="A6" s="3">
        <v>45938</v>
      </c>
      <c r="C6" t="str">
        <f>IF(B6="", "", SUM($B$4:B6))</f>
        <v/>
      </c>
      <c r="D6">
        <v>1700</v>
      </c>
      <c r="E6">
        <f>IF(AND(B6="", D6=""), "", N(LOOKUP(2, 1/($E$3:E5&lt;&gt;""), $E$3:E5)) + B6 - D6)</f>
        <v>80</v>
      </c>
    </row>
    <row r="7" spans="1:5" x14ac:dyDescent="0.25">
      <c r="A7" s="3">
        <v>45945</v>
      </c>
      <c r="B7">
        <v>4620</v>
      </c>
      <c r="C7">
        <f>IF(B7="", "", SUM($B$4:B7))</f>
        <v>8400</v>
      </c>
      <c r="E7">
        <f>IF(AND(B7="", D7=""), "", N(LOOKUP(2, 1/($E$3:E6&lt;&gt;""), $E$3:E6)) + B7 - D7)</f>
        <v>4700</v>
      </c>
    </row>
    <row r="8" spans="1:5" x14ac:dyDescent="0.25">
      <c r="A8" s="3">
        <v>45945</v>
      </c>
      <c r="C8" t="str">
        <f>IF(B8="", "", SUM($B$4:B8))</f>
        <v/>
      </c>
      <c r="D8">
        <v>1520</v>
      </c>
      <c r="E8">
        <f>IF(AND(B8="", D8=""), "", N(LOOKUP(2, 1/($E$3:E7&lt;&gt;""), $E$3:E7)) + B8 - D8)</f>
        <v>3180</v>
      </c>
    </row>
    <row r="9" spans="1:5" x14ac:dyDescent="0.25">
      <c r="A9" s="3">
        <v>45957</v>
      </c>
      <c r="B9">
        <v>9720</v>
      </c>
      <c r="C9">
        <f>IF(B9="", "", SUM($B$4:B9))</f>
        <v>18120</v>
      </c>
      <c r="E9">
        <f>IF(AND(B9="", D9=""), "", N(LOOKUP(2, 1/($E$3:E8&lt;&gt;""), $E$3:E8)) + B9 - D9)</f>
        <v>12900</v>
      </c>
    </row>
    <row r="10" spans="1:5" x14ac:dyDescent="0.25">
      <c r="A10" s="3">
        <v>45973</v>
      </c>
      <c r="C10" t="str">
        <f>IF(B10="", "", SUM($B$4:B10))</f>
        <v/>
      </c>
      <c r="D10">
        <v>1500</v>
      </c>
      <c r="E10">
        <f>IF(AND(B10="", D10=""), "", N(LOOKUP(2, 1/($E$3:E9&lt;&gt;""), $E$3:E9)) + B10 - D10)</f>
        <v>11400</v>
      </c>
    </row>
    <row r="11" spans="1:5" x14ac:dyDescent="0.25">
      <c r="A11" s="3">
        <v>45980</v>
      </c>
      <c r="C11" t="str">
        <f>IF(B11="", "", SUM($B$4:B11))</f>
        <v/>
      </c>
      <c r="D11">
        <v>2000</v>
      </c>
      <c r="E11">
        <f>IF(AND(B11="", D11=""), "", N(LOOKUP(2, 1/($E$3:E10&lt;&gt;""), $E$3:E10)) + B11 - D11)</f>
        <v>9400</v>
      </c>
    </row>
    <row r="12" spans="1:5" x14ac:dyDescent="0.25">
      <c r="A12" s="3">
        <v>45994</v>
      </c>
      <c r="C12" t="str">
        <f>IF(B12="", "", SUM($B$4:B12))</f>
        <v/>
      </c>
      <c r="D12">
        <v>1000</v>
      </c>
      <c r="E12">
        <f>IF(AND(B12="", D12=""), "", N(LOOKUP(2, 1/($E$3:E11&lt;&gt;""), $E$3:E11)) + B12 - D12)</f>
        <v>8400</v>
      </c>
    </row>
    <row r="13" spans="1:5" x14ac:dyDescent="0.25">
      <c r="A13" s="3">
        <v>46008</v>
      </c>
      <c r="C13" t="str">
        <f>IF(B13="", "", SUM($B$4:B13))</f>
        <v/>
      </c>
      <c r="D13">
        <v>2000</v>
      </c>
      <c r="E13">
        <f>IF(AND(B13="", D13=""), "", N(LOOKUP(2, 1/($E$3:E12&lt;&gt;""), $E$3:E12)) + B13 - D13)</f>
        <v>6400</v>
      </c>
    </row>
    <row r="14" spans="1:5" x14ac:dyDescent="0.25">
      <c r="A14" s="3">
        <v>46022</v>
      </c>
      <c r="C14" t="str">
        <f>IF(B14="", "", SUM($B$4:B14))</f>
        <v/>
      </c>
      <c r="D14">
        <v>2500</v>
      </c>
      <c r="E14">
        <f>IF(AND(B14="", D14=""), "", N(LOOKUP(2, 1/($E$3:E13&lt;&gt;""), $E$3:E13)) + B14 - D14)</f>
        <v>3900</v>
      </c>
    </row>
    <row r="15" spans="1:5" x14ac:dyDescent="0.25">
      <c r="A15" s="3">
        <v>46022</v>
      </c>
      <c r="B15">
        <v>2460</v>
      </c>
      <c r="C15">
        <f>IF(B15="", "", SUM($B$4:B15))</f>
        <v>20580</v>
      </c>
      <c r="E15">
        <f>IF(AND(B15="", D15=""), "", N(LOOKUP(2, 1/($E$3:E14&lt;&gt;""), $E$3:E14)) + B15 - D15)</f>
        <v>6360</v>
      </c>
    </row>
    <row r="16" spans="1:5" x14ac:dyDescent="0.25">
      <c r="A16" s="3">
        <v>46026</v>
      </c>
      <c r="B16">
        <v>19440</v>
      </c>
      <c r="C16">
        <f>IF(B16="", "", SUM($B$4:B16))</f>
        <v>40020</v>
      </c>
      <c r="E16">
        <f>IF(AND(B16="", D16=""), "", N(LOOKUP(2, 1/($E$3:E15&lt;&gt;""), $E$3:E15)) + B16 - D16)</f>
        <v>25800</v>
      </c>
    </row>
    <row r="17" spans="1:5" x14ac:dyDescent="0.25">
      <c r="A17" s="3">
        <v>46029</v>
      </c>
      <c r="C17" t="str">
        <f>IF(B17="", "", SUM($B$4:B17))</f>
        <v/>
      </c>
      <c r="D17">
        <v>2580</v>
      </c>
      <c r="E17">
        <f>IF(AND(B17="", D17=""), "", N(LOOKUP(2, 1/($E$3:E16&lt;&gt;""), $E$3:E16)) + B17 - D17)</f>
        <v>23220</v>
      </c>
    </row>
    <row r="18" spans="1:5" x14ac:dyDescent="0.25">
      <c r="A18" s="3">
        <v>46036</v>
      </c>
      <c r="C18" t="str">
        <f>IF(B18="", "", SUM($B$4:B18))</f>
        <v/>
      </c>
      <c r="D18">
        <v>2000</v>
      </c>
      <c r="E18">
        <f>IF(AND(B18="", D18=""), "", N(LOOKUP(2, 1/($E$3:E17&lt;&gt;""), $E$3:E17)) + B18 - D18)</f>
        <v>21220</v>
      </c>
    </row>
    <row r="19" spans="1:5" x14ac:dyDescent="0.25">
      <c r="A19" s="3">
        <v>46043</v>
      </c>
      <c r="C19" t="str">
        <f>IF(B19="", "", SUM($B$4:B19))</f>
        <v/>
      </c>
      <c r="D19">
        <v>1220</v>
      </c>
      <c r="E19">
        <f>IF(AND(B19="", D19=""), "", N(LOOKUP(2, 1/($E$3:E18&lt;&gt;""), $E$3:E18)) + B19 - D19)</f>
        <v>20000</v>
      </c>
    </row>
    <row r="20" spans="1:5" x14ac:dyDescent="0.25">
      <c r="A20" s="3">
        <v>46057</v>
      </c>
      <c r="C20" t="str">
        <f>IF(B20="", "", SUM($B$4:B20))</f>
        <v/>
      </c>
      <c r="D20">
        <v>1500</v>
      </c>
      <c r="E20">
        <f>IF(AND(B20="", D20=""), "", N(LOOKUP(2, 1/($E$3:E19&lt;&gt;""), $E$3:E19)) + B20 - D20)</f>
        <v>18500</v>
      </c>
    </row>
    <row r="21" spans="1:5" x14ac:dyDescent="0.25">
      <c r="A21" s="3">
        <v>46085</v>
      </c>
      <c r="C21" t="str">
        <f>IF(B21="", "", SUM($B$4:B21))</f>
        <v/>
      </c>
      <c r="D21">
        <v>2500</v>
      </c>
      <c r="E21">
        <f>IF(AND(B21="", D21=""), "", N(LOOKUP(2, 1/($E$3:E20&lt;&gt;""), $E$3:E20)) + B21 - D21)</f>
        <v>16000</v>
      </c>
    </row>
    <row r="22" spans="1:5" x14ac:dyDescent="0.25">
      <c r="A22" s="3">
        <v>46092</v>
      </c>
      <c r="B22">
        <v>2260</v>
      </c>
      <c r="C22">
        <f>IF(B22="", "", SUM($B$4:B22))</f>
        <v>42280</v>
      </c>
      <c r="E22">
        <f>IF(AND(B22="", D22=""), "", N(LOOKUP(2, 1/($E$3:E21&lt;&gt;""), $E$3:E21)) + B22 - D22)</f>
        <v>18260</v>
      </c>
    </row>
    <row r="23" spans="1:5" x14ac:dyDescent="0.25">
      <c r="A23" s="3">
        <v>46092</v>
      </c>
      <c r="C23" t="str">
        <f>IF(B23="", "", SUM($B$4:B23))</f>
        <v/>
      </c>
      <c r="D23">
        <v>8620</v>
      </c>
      <c r="E23">
        <f>IF(AND(B23="", D23=""), "", N(LOOKUP(2, 1/($E$3:E22&lt;&gt;""), $E$3:E22)) + B23 - D23)</f>
        <v>9640</v>
      </c>
    </row>
    <row r="24" spans="1:5" x14ac:dyDescent="0.25">
      <c r="A24" s="3">
        <v>46092</v>
      </c>
      <c r="C24" t="str">
        <f>IF(B24="", "", SUM($B$4:B24))</f>
        <v/>
      </c>
      <c r="D24">
        <v>1600</v>
      </c>
      <c r="E24">
        <f>IF(AND(B24="", D24=""), "", N(LOOKUP(2, 1/($E$3:E23&lt;&gt;""), $E$3:E23)) + B24 - D24)</f>
        <v>8040</v>
      </c>
    </row>
    <row r="25" spans="1:5" x14ac:dyDescent="0.25">
      <c r="A25" s="3">
        <v>46093</v>
      </c>
      <c r="B25">
        <v>17628</v>
      </c>
      <c r="C25">
        <f>IF(B25="", "", SUM($B$4:B25))</f>
        <v>59908</v>
      </c>
      <c r="E25">
        <f>IF(AND(B25="", D25=""), "", N(LOOKUP(2, 1/($E$3:E24&lt;&gt;""), $E$3:E24)) + B25 - D25)</f>
        <v>25668</v>
      </c>
    </row>
    <row r="26" spans="1:5" x14ac:dyDescent="0.25">
      <c r="A26" s="3" t="s">
        <v>51</v>
      </c>
      <c r="C26" t="str">
        <f>IF(B26="", "", SUM($B$4:B26))</f>
        <v/>
      </c>
      <c r="D26">
        <v>2000</v>
      </c>
      <c r="E26">
        <f>IF(AND(B26="", D26=""), "", N(LOOKUP(2, 1/($E$3:E25&lt;&gt;""), $E$3:E25)) + B26 - D26)</f>
        <v>23668</v>
      </c>
    </row>
    <row r="27" spans="1:5" x14ac:dyDescent="0.25">
      <c r="B27">
        <v>5140</v>
      </c>
      <c r="C27">
        <f>IF(B27="", "", SUM($B$4:B27))</f>
        <v>65048</v>
      </c>
      <c r="E27">
        <f>IF(AND(B27="", D27=""), "", N(LOOKUP(2, 1/($E$3:E26&lt;&gt;""), $E$3:E26)) + B27 - D27)</f>
        <v>28808</v>
      </c>
    </row>
    <row r="28" spans="1:5" x14ac:dyDescent="0.25">
      <c r="A28" s="3">
        <v>46120</v>
      </c>
      <c r="C28" t="str">
        <f>IF(B28="", "", SUM($B$4:B28))</f>
        <v/>
      </c>
      <c r="D28">
        <v>1808</v>
      </c>
      <c r="E28">
        <f>IF(AND(B28="", D28=""), "", N(LOOKUP(2, 1/($E$3:E27&lt;&gt;""), $E$3:E27)) + B28 - D28)</f>
        <v>27000</v>
      </c>
    </row>
    <row r="29" spans="1:5" x14ac:dyDescent="0.25">
      <c r="A29" s="3">
        <v>46134</v>
      </c>
      <c r="C29" t="str">
        <f>IF(B29="", "", SUM($B$4:B29))</f>
        <v/>
      </c>
      <c r="D29">
        <v>1000</v>
      </c>
      <c r="E29">
        <f>IF(AND(B29="", D29=""), "", N(LOOKUP(2, 1/($E$3:E28&lt;&gt;""), $E$3:E28)) + B29 - D29)</f>
        <v>26000</v>
      </c>
    </row>
    <row r="30" spans="1:5" x14ac:dyDescent="0.25">
      <c r="A30" s="3">
        <v>46141</v>
      </c>
      <c r="C30" t="str">
        <f>IF(B30="", "", SUM($B$4:B30))</f>
        <v/>
      </c>
      <c r="D30">
        <v>1000</v>
      </c>
      <c r="E30">
        <f>IF(AND(B30="", D30=""), "", N(LOOKUP(2, 1/($E$3:E29&lt;&gt;""), $E$3:E29)) + B30 - D30)</f>
        <v>25000</v>
      </c>
    </row>
    <row r="31" spans="1:5" x14ac:dyDescent="0.25">
      <c r="A31" s="3">
        <v>46148</v>
      </c>
      <c r="C31" t="str">
        <f>IF(B31="", "", SUM($B$4:B31))</f>
        <v/>
      </c>
      <c r="D31">
        <v>1000</v>
      </c>
      <c r="E31">
        <f>IF(AND(B31="", D31=""), "", N(LOOKUP(2, 1/($E$3:E30&lt;&gt;""), $E$3:E30)) + B31 - D31)</f>
        <v>24000</v>
      </c>
    </row>
    <row r="32" spans="1:5" x14ac:dyDescent="0.25">
      <c r="A32" s="3">
        <v>46148</v>
      </c>
      <c r="B32">
        <v>441</v>
      </c>
      <c r="C32">
        <f>IF(B32="", "", SUM($B$4:B32))</f>
        <v>65489</v>
      </c>
      <c r="E32">
        <f>IF(AND(B32="", D32=""), "", N(LOOKUP(2, 1/($E$3:E31&lt;&gt;""), $E$3:E31)) + B32 - D32)</f>
        <v>24441</v>
      </c>
    </row>
    <row r="33" spans="1:5" x14ac:dyDescent="0.25">
      <c r="A33" s="3">
        <v>46162</v>
      </c>
      <c r="C33" t="str">
        <f>IF(B33="", "", SUM($B$4:B33))</f>
        <v/>
      </c>
      <c r="D33">
        <v>2441</v>
      </c>
      <c r="E33">
        <f>IF(AND(B33="", D33=""), "", N(LOOKUP(2, 1/($E$3:E32&lt;&gt;""), $E$3:E32)) + B33 - D33)</f>
        <v>22000</v>
      </c>
    </row>
    <row r="34" spans="1:5" x14ac:dyDescent="0.25">
      <c r="A34" s="3">
        <v>46176</v>
      </c>
      <c r="C34" t="str">
        <f>IF(B34="", "", SUM($B$4:B34))</f>
        <v/>
      </c>
      <c r="D34">
        <v>3000</v>
      </c>
      <c r="E34">
        <f>IF(AND(B34="", D34=""), "", N(LOOKUP(2, 1/($E$3:E33&lt;&gt;""), $E$3:E33)) + B34 - D34)</f>
        <v>19000</v>
      </c>
    </row>
    <row r="35" spans="1:5" x14ac:dyDescent="0.25">
      <c r="A35" s="3">
        <v>46183</v>
      </c>
      <c r="C35" t="str">
        <f>IF(B35="", "", SUM($B$4:B35))</f>
        <v/>
      </c>
      <c r="D35">
        <v>3000</v>
      </c>
      <c r="E35">
        <f>IF(AND(B35="", D35=""), "", N(LOOKUP(2, 1/($E$3:E34&lt;&gt;""), $E$3:E34)) + B35 - D35)</f>
        <v>16000</v>
      </c>
    </row>
    <row r="36" spans="1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1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1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1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1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1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1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1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1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1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1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1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12C2-1272-4D60-8595-7B6E4A5A1621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6" ht="15" customHeight="1" x14ac:dyDescent="0.25">
      <c r="A1" s="25" t="str">
        <f>HYPERLINK("#'Home'!A1", "Home")</f>
        <v>Home</v>
      </c>
      <c r="B1" s="24" t="s">
        <v>17</v>
      </c>
      <c r="C1" s="24"/>
      <c r="D1" s="24"/>
      <c r="E1" s="24"/>
    </row>
    <row r="2" spans="1:6" ht="15" customHeight="1" x14ac:dyDescent="0.25">
      <c r="A2" s="26"/>
      <c r="B2" s="24"/>
      <c r="C2" s="24"/>
      <c r="D2" s="24"/>
      <c r="E2" s="24"/>
    </row>
    <row r="3" spans="1:6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6" x14ac:dyDescent="0.25">
      <c r="A4" s="3">
        <v>45924</v>
      </c>
      <c r="B4">
        <v>15254</v>
      </c>
      <c r="C4">
        <f>IF(B4="", "", SUM($B$4:B4))</f>
        <v>15254</v>
      </c>
      <c r="E4">
        <f>IF(AND(B4="", D4=""), "", N(LOOKUP(2, 1/($E$3:E3&lt;&gt;""), $E$3:E3)) + B4 - D4)</f>
        <v>15254</v>
      </c>
    </row>
    <row r="5" spans="1:6" x14ac:dyDescent="0.25">
      <c r="A5" s="3">
        <v>45938</v>
      </c>
      <c r="C5" t="str">
        <f>IF(B5="", "", SUM($B$4:B5))</f>
        <v/>
      </c>
      <c r="D5">
        <v>2000</v>
      </c>
      <c r="E5">
        <f>IF(AND(B5="", D5=""), "", N(LOOKUP(2, 1/($E$3:E4&lt;&gt;""), $E$3:E4)) + B5 - D5)</f>
        <v>13254</v>
      </c>
    </row>
    <row r="6" spans="1:6" x14ac:dyDescent="0.25">
      <c r="A6" s="3">
        <v>45945</v>
      </c>
      <c r="C6" t="str">
        <f>IF(B6="", "", SUM($B$4:B6))</f>
        <v/>
      </c>
      <c r="D6">
        <v>3000</v>
      </c>
      <c r="E6">
        <f>IF(AND(B6="", D6=""), "", N(LOOKUP(2, 1/($E$3:E5&lt;&gt;""), $E$3:E5)) + B6 - D6)</f>
        <v>10254</v>
      </c>
    </row>
    <row r="7" spans="1:6" x14ac:dyDescent="0.25">
      <c r="A7" s="3">
        <v>45952</v>
      </c>
      <c r="C7" t="str">
        <f>IF(B7="", "", SUM($B$4:B7))</f>
        <v/>
      </c>
      <c r="D7">
        <v>200</v>
      </c>
      <c r="E7">
        <f>IF(AND(B7="", D7=""), "", N(LOOKUP(2, 1/($E$3:E6&lt;&gt;""), $E$3:E6)) + B7 - D7)</f>
        <v>10054</v>
      </c>
      <c r="F7" s="4" t="s">
        <v>18</v>
      </c>
    </row>
    <row r="8" spans="1:6" x14ac:dyDescent="0.25">
      <c r="A8" s="3">
        <v>45959</v>
      </c>
      <c r="B8">
        <v>1974</v>
      </c>
      <c r="C8">
        <f>IF(B8="", "", SUM($B$4:B8))</f>
        <v>17228</v>
      </c>
      <c r="E8">
        <f>IF(AND(B8="", D8=""), "", N(LOOKUP(2, 1/($E$3:E7&lt;&gt;""), $E$3:E7)) + B8 - D8)</f>
        <v>12028</v>
      </c>
    </row>
    <row r="9" spans="1:6" x14ac:dyDescent="0.25">
      <c r="A9" s="3">
        <v>45966</v>
      </c>
      <c r="C9" t="str">
        <f>IF(B9="", "", SUM($B$4:B9))</f>
        <v/>
      </c>
      <c r="D9">
        <v>4000</v>
      </c>
      <c r="E9">
        <f>IF(AND(B9="", D9=""), "", N(LOOKUP(2, 1/($E$3:E8&lt;&gt;""), $E$3:E8)) + B9 - D9)</f>
        <v>8028</v>
      </c>
    </row>
    <row r="10" spans="1:6" x14ac:dyDescent="0.25">
      <c r="A10" s="3">
        <v>45973</v>
      </c>
      <c r="C10" t="str">
        <f>IF(B10="", "", SUM($B$4:B10))</f>
        <v/>
      </c>
      <c r="D10">
        <v>4000</v>
      </c>
      <c r="E10">
        <f>IF(AND(B10="", D10=""), "", N(LOOKUP(2, 1/($E$3:E9&lt;&gt;""), $E$3:E9)) + B10 - D10)</f>
        <v>4028</v>
      </c>
    </row>
    <row r="11" spans="1:6" x14ac:dyDescent="0.25">
      <c r="A11" s="3">
        <v>45980</v>
      </c>
      <c r="C11" t="str">
        <f>IF(B11="", "", SUM($B$4:B11))</f>
        <v/>
      </c>
      <c r="D11">
        <v>2000</v>
      </c>
      <c r="E11">
        <f>IF(AND(B11="", D11=""), "", N(LOOKUP(2, 1/($E$3:E10&lt;&gt;""), $E$3:E10)) + B11 - D11)</f>
        <v>2028</v>
      </c>
    </row>
    <row r="12" spans="1:6" x14ac:dyDescent="0.25">
      <c r="A12" s="3">
        <v>45987</v>
      </c>
      <c r="C12" t="str">
        <f>IF(B12="", "", SUM($B$4:B12))</f>
        <v/>
      </c>
      <c r="D12">
        <v>1000</v>
      </c>
      <c r="E12">
        <f>IF(AND(B12="", D12=""), "", N(LOOKUP(2, 1/($E$3:E11&lt;&gt;""), $E$3:E11)) + B12 - D12)</f>
        <v>1028</v>
      </c>
    </row>
    <row r="13" spans="1:6" x14ac:dyDescent="0.25">
      <c r="A13" s="3">
        <v>45994</v>
      </c>
      <c r="B13">
        <v>968</v>
      </c>
      <c r="C13">
        <f>IF(B13="", "", SUM($B$4:B13))</f>
        <v>18196</v>
      </c>
      <c r="E13">
        <f>IF(AND(B13="", D13=""), "", N(LOOKUP(2, 1/($E$3:E12&lt;&gt;""), $E$3:E12)) + B13 - D13)</f>
        <v>1996</v>
      </c>
    </row>
    <row r="14" spans="1:6" x14ac:dyDescent="0.25">
      <c r="A14" s="3">
        <v>46008</v>
      </c>
      <c r="C14" t="str">
        <f>IF(B14="", "", SUM($B$4:B14))</f>
        <v/>
      </c>
      <c r="D14">
        <v>1300</v>
      </c>
      <c r="E14">
        <f>IF(AND(B14="", D14=""), "", N(LOOKUP(2, 1/($E$3:E13&lt;&gt;""), $E$3:E13)) + B14 - D14)</f>
        <v>696</v>
      </c>
      <c r="F14" s="4" t="s">
        <v>19</v>
      </c>
    </row>
    <row r="15" spans="1:6" x14ac:dyDescent="0.25">
      <c r="A15" s="3">
        <v>46008</v>
      </c>
      <c r="C15" t="str">
        <f>IF(B15="", "", SUM($B$4:B15))</f>
        <v/>
      </c>
      <c r="D15">
        <v>696</v>
      </c>
      <c r="E15">
        <f>IF(AND(B15="", D15=""), "", N(LOOKUP(2, 1/($E$3:E14&lt;&gt;""), $E$3:E14)) + B15 - D15)</f>
        <v>0</v>
      </c>
    </row>
    <row r="16" spans="1:6" x14ac:dyDescent="0.25">
      <c r="A16" s="3">
        <v>46071</v>
      </c>
      <c r="B16">
        <v>8955</v>
      </c>
      <c r="C16">
        <f>IF(B16="", "", SUM($B$4:B16))</f>
        <v>27151</v>
      </c>
      <c r="E16">
        <f>IF(AND(B16="", D16=""), "", N(LOOKUP(2, 1/($E$3:E15&lt;&gt;""), $E$3:E15)) + B16 - D16)</f>
        <v>8955</v>
      </c>
    </row>
    <row r="17" spans="1:5" x14ac:dyDescent="0.25">
      <c r="A17" s="3">
        <v>46071</v>
      </c>
      <c r="C17" t="str">
        <f>IF(B17="", "", SUM($B$4:B17))</f>
        <v/>
      </c>
      <c r="D17">
        <v>8955</v>
      </c>
      <c r="E17">
        <f>IF(AND(B17="", D17=""), "", N(LOOKUP(2, 1/($E$3:E16&lt;&gt;""), $E$3:E16)) + B17 - D17)</f>
        <v>0</v>
      </c>
    </row>
    <row r="18" spans="1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1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1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1:5" x14ac:dyDescent="0.25">
      <c r="A21" s="3">
        <v>46085</v>
      </c>
      <c r="C21" t="str">
        <f>IF(B21="", "", SUM($B$4:B21))</f>
        <v/>
      </c>
      <c r="D21">
        <v>90000</v>
      </c>
      <c r="E21">
        <f>IF(AND(B21="", D21=""), "", N(LOOKUP(2, 1/($E$3:E20&lt;&gt;""), $E$3:E20)) + B21 - D21)</f>
        <v>-90000</v>
      </c>
    </row>
    <row r="22" spans="1:5" x14ac:dyDescent="0.25">
      <c r="A22" s="3">
        <v>46089</v>
      </c>
      <c r="B22">
        <v>8871</v>
      </c>
      <c r="C22">
        <f>IF(B22="", "", SUM($B$4:B22))</f>
        <v>36022</v>
      </c>
      <c r="E22">
        <f>IF(AND(B22="", D22=""), "", N(LOOKUP(2, 1/($E$3:E21&lt;&gt;""), $E$3:E21)) + B22 - D22)</f>
        <v>-81129</v>
      </c>
    </row>
    <row r="23" spans="1:5" x14ac:dyDescent="0.25">
      <c r="A23" s="3">
        <v>46089</v>
      </c>
      <c r="B23">
        <v>20203</v>
      </c>
      <c r="C23">
        <f>IF(B23="", "", SUM($B$4:B23))</f>
        <v>56225</v>
      </c>
      <c r="E23">
        <f>IF(AND(B23="", D23=""), "", N(LOOKUP(2, 1/($E$3:E22&lt;&gt;""), $E$3:E22)) + B23 - D23)</f>
        <v>-60926</v>
      </c>
    </row>
    <row r="24" spans="1:5" x14ac:dyDescent="0.25">
      <c r="A24" s="3">
        <v>46089</v>
      </c>
      <c r="B24">
        <v>15705</v>
      </c>
      <c r="C24">
        <f>IF(B24="", "", SUM($B$4:B24))</f>
        <v>71930</v>
      </c>
      <c r="E24">
        <f>IF(AND(B24="", D24=""), "", N(LOOKUP(2, 1/($E$3:E23&lt;&gt;""), $E$3:E23)) + B24 - D24)</f>
        <v>-45221</v>
      </c>
    </row>
    <row r="25" spans="1:5" x14ac:dyDescent="0.25">
      <c r="A25" s="3">
        <v>46089</v>
      </c>
      <c r="B25">
        <v>8871</v>
      </c>
      <c r="C25">
        <f>IF(B25="", "", SUM($B$4:B25))</f>
        <v>80801</v>
      </c>
      <c r="E25">
        <f>IF(AND(B25="", D25=""), "", N(LOOKUP(2, 1/($E$3:E24&lt;&gt;""), $E$3:E24)) + B25 - D25)</f>
        <v>-36350</v>
      </c>
    </row>
    <row r="26" spans="1:5" x14ac:dyDescent="0.25">
      <c r="A26" s="3">
        <v>46089</v>
      </c>
      <c r="B26">
        <v>8935</v>
      </c>
      <c r="C26">
        <f>IF(B26="", "", SUM($B$4:B26))</f>
        <v>89736</v>
      </c>
      <c r="E26">
        <f>IF(AND(B26="", D26=""), "", N(LOOKUP(2, 1/($E$3:E25&lt;&gt;""), $E$3:E25)) + B26 - D26)</f>
        <v>-27415</v>
      </c>
    </row>
    <row r="27" spans="1:5" x14ac:dyDescent="0.25">
      <c r="A27" s="3">
        <v>46089</v>
      </c>
      <c r="B27">
        <v>18350</v>
      </c>
      <c r="C27">
        <f>IF(B27="", "", SUM($B$4:B27))</f>
        <v>108086</v>
      </c>
      <c r="E27">
        <f>IF(AND(B27="", D27=""), "", N(LOOKUP(2, 1/($E$3:E26&lt;&gt;""), $E$3:E26)) + B27 - D27)</f>
        <v>-9065</v>
      </c>
    </row>
    <row r="28" spans="1:5" x14ac:dyDescent="0.25">
      <c r="A28" s="3">
        <v>46099</v>
      </c>
      <c r="B28">
        <v>24602</v>
      </c>
      <c r="C28">
        <f>IF(B28="", "", SUM($B$4:B28))</f>
        <v>132688</v>
      </c>
      <c r="E28">
        <f>IF(AND(B28="", D28=""), "", N(LOOKUP(2, 1/($E$3:E27&lt;&gt;""), $E$3:E27)) + B28 - D28)</f>
        <v>15537</v>
      </c>
    </row>
    <row r="29" spans="1:5" x14ac:dyDescent="0.25">
      <c r="A29" s="3">
        <v>46099</v>
      </c>
      <c r="B29">
        <v>32761</v>
      </c>
      <c r="C29">
        <f>IF(B29="", "", SUM($B$4:B29))</f>
        <v>165449</v>
      </c>
      <c r="E29">
        <f>IF(AND(B29="", D29=""), "", N(LOOKUP(2, 1/($E$3:E28&lt;&gt;""), $E$3:E28)) + B29 - D29)</f>
        <v>48298</v>
      </c>
    </row>
    <row r="30" spans="1:5" x14ac:dyDescent="0.25">
      <c r="A30" s="3">
        <v>46114</v>
      </c>
      <c r="C30" t="str">
        <f>IF(B30="", "", SUM($B$4:B30))</f>
        <v/>
      </c>
      <c r="D30">
        <v>20000</v>
      </c>
      <c r="E30">
        <f>IF(AND(B30="", D30=""), "", N(LOOKUP(2, 1/($E$3:E29&lt;&gt;""), $E$3:E29)) + B30 - D30)</f>
        <v>28298</v>
      </c>
    </row>
    <row r="31" spans="1:5" x14ac:dyDescent="0.25">
      <c r="A31" s="3">
        <v>46134</v>
      </c>
      <c r="C31" t="str">
        <f>IF(B31="", "", SUM($B$4:B31))</f>
        <v/>
      </c>
      <c r="D31">
        <v>60000</v>
      </c>
      <c r="E31">
        <f>IF(AND(B31="", D31=""), "", N(LOOKUP(2, 1/($E$3:E30&lt;&gt;""), $E$3:E30)) + B31 - D31)</f>
        <v>-31702</v>
      </c>
    </row>
    <row r="32" spans="1:5" x14ac:dyDescent="0.25">
      <c r="A32" s="3">
        <v>46138</v>
      </c>
      <c r="B32">
        <v>19355</v>
      </c>
      <c r="C32">
        <f>IF(B32="", "", SUM($B$4:B32))</f>
        <v>184804</v>
      </c>
      <c r="E32">
        <f>IF(AND(B32="", D32=""), "", N(LOOKUP(2, 1/($E$3:E31&lt;&gt;""), $E$3:E31)) + B32 - D32)</f>
        <v>-12347</v>
      </c>
    </row>
    <row r="33" spans="1:6" x14ac:dyDescent="0.25">
      <c r="A33" s="3">
        <v>46138</v>
      </c>
      <c r="B33">
        <v>5260</v>
      </c>
      <c r="C33">
        <f>IF(B33="", "", SUM($B$4:B33))</f>
        <v>190064</v>
      </c>
      <c r="E33">
        <f>IF(AND(B33="", D33=""), "", N(LOOKUP(2, 1/($E$3:E32&lt;&gt;""), $E$3:E32)) + B33 - D33)</f>
        <v>-7087</v>
      </c>
    </row>
    <row r="34" spans="1:6" x14ac:dyDescent="0.25">
      <c r="A34" s="3">
        <v>46138</v>
      </c>
      <c r="B34">
        <v>7057</v>
      </c>
      <c r="C34">
        <f>IF(B34="", "", SUM($B$4:B34))</f>
        <v>197121</v>
      </c>
      <c r="E34">
        <f>IF(AND(B34="", D34=""), "", N(LOOKUP(2, 1/($E$3:E33&lt;&gt;""), $E$3:E33)) + B34 - D34)</f>
        <v>-30</v>
      </c>
    </row>
    <row r="35" spans="1:6" x14ac:dyDescent="0.25">
      <c r="A35" s="3">
        <v>46138</v>
      </c>
      <c r="B35">
        <v>27238</v>
      </c>
      <c r="C35">
        <f>IF(B35="", "", SUM($B$4:B35))</f>
        <v>224359</v>
      </c>
      <c r="E35">
        <f>IF(AND(B35="", D35=""), "", N(LOOKUP(2, 1/($E$3:E34&lt;&gt;""), $E$3:E34)) + B35 - D35)</f>
        <v>27208</v>
      </c>
    </row>
    <row r="36" spans="1:6" x14ac:dyDescent="0.25">
      <c r="A36" s="3">
        <v>46146</v>
      </c>
      <c r="B36">
        <v>13100</v>
      </c>
      <c r="C36">
        <f>IF(B36="", "", SUM($B$4:B36))</f>
        <v>237459</v>
      </c>
      <c r="E36">
        <f>IF(AND(B36="", D36=""), "", N(LOOKUP(2, 1/($E$3:E35&lt;&gt;""), $E$3:E35)) + B36 - D36)</f>
        <v>40308</v>
      </c>
    </row>
    <row r="37" spans="1:6" x14ac:dyDescent="0.25">
      <c r="A37" s="3">
        <v>46146</v>
      </c>
      <c r="B37">
        <v>7777</v>
      </c>
      <c r="C37">
        <f>IF(B37="", "", SUM($B$4:B37))</f>
        <v>245236</v>
      </c>
      <c r="E37">
        <f>IF(AND(B37="", D37=""), "", N(LOOKUP(2, 1/($E$3:E36&lt;&gt;""), $E$3:E36)) + B37 - D37)</f>
        <v>48085</v>
      </c>
    </row>
    <row r="38" spans="1:6" x14ac:dyDescent="0.25">
      <c r="A38" s="3">
        <v>46151</v>
      </c>
      <c r="B38">
        <v>31812</v>
      </c>
      <c r="C38">
        <f>IF(B38="", "", SUM($B$4:B38))</f>
        <v>277048</v>
      </c>
      <c r="E38">
        <f>IF(AND(B38="", D38=""), "", N(LOOKUP(2, 1/($E$3:E37&lt;&gt;""), $E$3:E37)) + B38 - D38)</f>
        <v>79897</v>
      </c>
    </row>
    <row r="39" spans="1:6" x14ac:dyDescent="0.25">
      <c r="A39" s="3">
        <v>46176</v>
      </c>
      <c r="C39" t="str">
        <f>IF(B39="", "", SUM($B$4:B39))</f>
        <v/>
      </c>
      <c r="D39">
        <v>30000</v>
      </c>
      <c r="E39">
        <f>IF(AND(B39="", D39=""), "", N(LOOKUP(2, 1/($E$3:E38&lt;&gt;""), $E$3:E38)) + B39 - D39)</f>
        <v>49897</v>
      </c>
      <c r="F39" s="4" t="s">
        <v>55</v>
      </c>
    </row>
    <row r="40" spans="1:6" x14ac:dyDescent="0.25">
      <c r="A40" s="3">
        <v>46188</v>
      </c>
      <c r="B40">
        <v>18852</v>
      </c>
      <c r="C40">
        <f>IF(B40="", "", SUM($B$4:B40))</f>
        <v>295900</v>
      </c>
      <c r="E40">
        <f>IF(AND(B40="", D40=""), "", N(LOOKUP(2, 1/($E$3:E39&lt;&gt;""), $E$3:E39)) + B40 - D40)</f>
        <v>68749</v>
      </c>
    </row>
    <row r="41" spans="1:6" x14ac:dyDescent="0.25">
      <c r="A41" s="3">
        <v>46188</v>
      </c>
      <c r="B41">
        <v>8935</v>
      </c>
      <c r="C41">
        <f>IF(B41="", "", SUM($B$4:B41))</f>
        <v>304835</v>
      </c>
      <c r="E41">
        <f>IF(AND(B41="", D41=""), "", N(LOOKUP(2, 1/($E$3:E40&lt;&gt;""), $E$3:E40)) + B41 - D41)</f>
        <v>77684</v>
      </c>
    </row>
    <row r="42" spans="1:6" x14ac:dyDescent="0.25">
      <c r="A42" s="3">
        <v>46188</v>
      </c>
      <c r="B42">
        <v>8630</v>
      </c>
      <c r="C42">
        <f>IF(B42="", "", SUM($B$4:B42))</f>
        <v>313465</v>
      </c>
      <c r="E42">
        <f>IF(AND(B42="", D42=""), "", N(LOOKUP(2, 1/($E$3:E41&lt;&gt;""), $E$3:E41)) + B42 - D42)</f>
        <v>86314</v>
      </c>
    </row>
    <row r="43" spans="1:6" x14ac:dyDescent="0.25">
      <c r="A43" s="3">
        <v>46188</v>
      </c>
      <c r="B43">
        <v>8405</v>
      </c>
      <c r="C43">
        <f>IF(B43="", "", SUM($B$4:B43))</f>
        <v>321870</v>
      </c>
      <c r="E43">
        <f>IF(AND(B43="", D43=""), "", N(LOOKUP(2, 1/($E$3:E42&lt;&gt;""), $E$3:E42)) + B43 - D43)</f>
        <v>94719</v>
      </c>
    </row>
    <row r="44" spans="1:6" x14ac:dyDescent="0.25">
      <c r="A44" s="3">
        <v>46190</v>
      </c>
      <c r="C44" t="str">
        <f>IF(B44="", "", SUM($B$4:B44))</f>
        <v/>
      </c>
      <c r="D44">
        <v>50000</v>
      </c>
      <c r="E44">
        <f>IF(AND(B44="", D44=""), "", N(LOOKUP(2, 1/($E$3:E43&lt;&gt;""), $E$3:E43)) + B44 - D44)</f>
        <v>44719</v>
      </c>
      <c r="F44" s="4" t="s">
        <v>57</v>
      </c>
    </row>
    <row r="45" spans="1:6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1:6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1:6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6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DE80-4C09-421F-A908-E2C338AF4F4B}">
  <dimension ref="A1:F102"/>
  <sheetViews>
    <sheetView workbookViewId="0">
      <selection activeCell="F15" sqref="F15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20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45995</v>
      </c>
      <c r="B4">
        <v>18000</v>
      </c>
      <c r="C4">
        <f>IF(B4="", "", SUM($B$4:B4))</f>
        <v>18000</v>
      </c>
      <c r="E4">
        <f>IF(AND(B4="", D4=""), "", N(LOOKUP(2, 1/($E$3:E3&lt;&gt;""), $E$3:E3)) + B4 - D4)</f>
        <v>18000</v>
      </c>
    </row>
    <row r="5" spans="1:5" x14ac:dyDescent="0.25">
      <c r="A5" s="3">
        <v>46001</v>
      </c>
      <c r="C5" t="str">
        <f>IF(B5="", "", SUM($B$4:B5))</f>
        <v/>
      </c>
      <c r="D5">
        <v>18000</v>
      </c>
      <c r="E5">
        <f>IF(AND(B5="", D5=""), "", N(LOOKUP(2, 1/($E$3:E4&lt;&gt;""), $E$3:E4)) + B5 - D5)</f>
        <v>0</v>
      </c>
    </row>
    <row r="6" spans="1:5" x14ac:dyDescent="0.25">
      <c r="A6" s="3">
        <v>46026</v>
      </c>
      <c r="B6">
        <v>45800</v>
      </c>
      <c r="C6">
        <f>IF(B6="", "", SUM($B$4:B6))</f>
        <v>63800</v>
      </c>
      <c r="E6">
        <f>IF(AND(B6="", D6=""), "", N(LOOKUP(2, 1/($E$3:E5&lt;&gt;""), $E$3:E5)) + B6 - D6)</f>
        <v>45800</v>
      </c>
    </row>
    <row r="7" spans="1:5" x14ac:dyDescent="0.25">
      <c r="A7" s="3">
        <v>46026</v>
      </c>
      <c r="C7" t="str">
        <f>IF(B7="", "", SUM($B$4:B7))</f>
        <v/>
      </c>
      <c r="D7">
        <v>45800</v>
      </c>
      <c r="E7">
        <f>IF(AND(B7="", D7=""), "", N(LOOKUP(2, 1/($E$3:E6&lt;&gt;""), $E$3:E6)) + B7 - D7)</f>
        <v>0</v>
      </c>
    </row>
    <row r="8" spans="1:5" x14ac:dyDescent="0.25">
      <c r="C8" t="str">
        <f>IF(B8="", "", SUM($B$4:B8))</f>
        <v/>
      </c>
      <c r="E8" t="str">
        <f>IF(AND(B8="", D8=""), "", N(LOOKUP(2, 1/($E$3:E7&lt;&gt;""), $E$3:E7)) + B8 - D8)</f>
        <v/>
      </c>
    </row>
    <row r="9" spans="1:5" x14ac:dyDescent="0.25">
      <c r="C9" t="str">
        <f>IF(B9="", "", SUM($B$4:B9))</f>
        <v/>
      </c>
      <c r="E9" t="str">
        <f>IF(AND(B9="", D9=""), "", N(LOOKUP(2, 1/($E$3:E8&lt;&gt;""), $E$3:E8)) + B9 - D9)</f>
        <v/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B2EF-FC41-480F-B4E9-7D789C2F031B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24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46036</v>
      </c>
      <c r="B4">
        <v>2450</v>
      </c>
      <c r="C4">
        <f>IF(B4="", "", SUM($B$4:B4))</f>
        <v>2450</v>
      </c>
      <c r="E4">
        <f>IF(AND(B4="", D4=""), "", N(LOOKUP(2, 1/($E$3:E3&lt;&gt;""), $E$3:E3)) + B4 - D4)</f>
        <v>2450</v>
      </c>
    </row>
    <row r="5" spans="1:5" x14ac:dyDescent="0.25">
      <c r="A5" s="3">
        <v>46036</v>
      </c>
      <c r="C5" t="str">
        <f>IF(B5="", "", SUM($B$4:B5))</f>
        <v/>
      </c>
      <c r="D5">
        <v>1000</v>
      </c>
      <c r="E5">
        <f>IF(AND(B5="", D5=""), "", N(LOOKUP(2, 1/($E$3:E4&lt;&gt;""), $E$3:E4)) + B5 - D5)</f>
        <v>1450</v>
      </c>
    </row>
    <row r="6" spans="1:5" x14ac:dyDescent="0.25">
      <c r="A6" s="3">
        <v>46065</v>
      </c>
      <c r="C6" t="str">
        <f>IF(B6="", "", SUM($B$4:B6))</f>
        <v/>
      </c>
      <c r="D6">
        <v>1450</v>
      </c>
      <c r="E6">
        <f>IF(AND(B6="", D6=""), "", N(LOOKUP(2, 1/($E$3:E5&lt;&gt;""), $E$3:E5)) + B6 - D6)</f>
        <v>0</v>
      </c>
    </row>
    <row r="7" spans="1:5" x14ac:dyDescent="0.25">
      <c r="B7">
        <v>4900</v>
      </c>
      <c r="C7">
        <f>IF(B7="", "", SUM($B$4:B7))</f>
        <v>7350</v>
      </c>
      <c r="E7">
        <f>IF(AND(B7="", D7=""), "", N(LOOKUP(2, 1/($E$3:E6&lt;&gt;""), $E$3:E6)) + B7 - D7)</f>
        <v>4900</v>
      </c>
    </row>
    <row r="8" spans="1:5" x14ac:dyDescent="0.25">
      <c r="A8" s="3">
        <v>46134</v>
      </c>
      <c r="C8" t="str">
        <f>IF(B8="", "", SUM($B$4:B8))</f>
        <v/>
      </c>
      <c r="D8">
        <v>1000</v>
      </c>
      <c r="E8">
        <f>IF(AND(B8="", D8=""), "", N(LOOKUP(2, 1/($E$3:E7&lt;&gt;""), $E$3:E7)) + B8 - D8)</f>
        <v>3900</v>
      </c>
    </row>
    <row r="9" spans="1:5" x14ac:dyDescent="0.25">
      <c r="A9" s="3">
        <v>46148</v>
      </c>
      <c r="C9" t="str">
        <f>IF(B9="", "", SUM($B$4:B9))</f>
        <v/>
      </c>
      <c r="D9">
        <v>1000</v>
      </c>
      <c r="E9">
        <f>IF(AND(B9="", D9=""), "", N(LOOKUP(2, 1/($E$3:E8&lt;&gt;""), $E$3:E8)) + B9 - D9)</f>
        <v>2900</v>
      </c>
    </row>
    <row r="10" spans="1:5" x14ac:dyDescent="0.25">
      <c r="A10" s="3">
        <v>46152</v>
      </c>
      <c r="B10">
        <v>4512</v>
      </c>
      <c r="C10">
        <f>IF(B10="", "", SUM($B$4:B10))</f>
        <v>11862</v>
      </c>
      <c r="E10">
        <f>IF(AND(B10="", D10=""), "", N(LOOKUP(2, 1/($E$3:E9&lt;&gt;""), $E$3:E9)) + B10 - D10)</f>
        <v>7412</v>
      </c>
    </row>
    <row r="11" spans="1:5" x14ac:dyDescent="0.25">
      <c r="A11" s="3">
        <v>46152</v>
      </c>
      <c r="C11" t="str">
        <f>IF(B11="", "", SUM($B$4:B11))</f>
        <v/>
      </c>
      <c r="D11">
        <v>1680</v>
      </c>
      <c r="E11">
        <f>IF(AND(B11="", D11=""), "", N(LOOKUP(2, 1/($E$3:E10&lt;&gt;""), $E$3:E10)) + B11 - D11)</f>
        <v>5732</v>
      </c>
    </row>
    <row r="12" spans="1:5" x14ac:dyDescent="0.25">
      <c r="A12" s="3">
        <v>38871</v>
      </c>
      <c r="C12" t="str">
        <f>IF(B12="", "", SUM($B$4:B12))</f>
        <v/>
      </c>
      <c r="D12">
        <v>1000</v>
      </c>
      <c r="E12">
        <f>IF(AND(B12="", D12=""), "", N(LOOKUP(2, 1/($E$3:E11&lt;&gt;""), $E$3:E11)) + B12 - D12)</f>
        <v>4732</v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0ADB-A0D9-4820-886E-F06D242B610E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6" ht="15" customHeight="1" x14ac:dyDescent="0.25">
      <c r="A1" s="25" t="str">
        <f>HYPERLINK("#'Home'!A1", "Home")</f>
        <v>Home</v>
      </c>
      <c r="B1" s="24" t="s">
        <v>25</v>
      </c>
      <c r="C1" s="24"/>
      <c r="D1" s="24"/>
      <c r="E1" s="24"/>
    </row>
    <row r="2" spans="1:6" ht="15" customHeight="1" x14ac:dyDescent="0.25">
      <c r="A2" s="26"/>
      <c r="B2" s="24"/>
      <c r="C2" s="24"/>
      <c r="D2" s="24"/>
      <c r="E2" s="24"/>
    </row>
    <row r="3" spans="1:6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6" x14ac:dyDescent="0.25">
      <c r="A4" s="3">
        <v>45922</v>
      </c>
      <c r="B4">
        <v>110626</v>
      </c>
      <c r="C4">
        <f>IF(B4="", "", SUM($B$4:B4))</f>
        <v>110626</v>
      </c>
      <c r="E4">
        <f>IF(AND(B4="", D4=""), "", N(LOOKUP(2, 1/($E$3:E3&lt;&gt;""), $E$3:E3)) + B4 - D4)</f>
        <v>110626</v>
      </c>
    </row>
    <row r="5" spans="1:6" x14ac:dyDescent="0.25">
      <c r="A5" s="3">
        <v>45922</v>
      </c>
      <c r="C5" t="str">
        <f>IF(B5="", "", SUM($B$4:B5))</f>
        <v/>
      </c>
      <c r="D5">
        <v>8000</v>
      </c>
      <c r="E5">
        <f>IF(AND(B5="", D5=""), "", N(LOOKUP(2, 1/($E$3:E4&lt;&gt;""), $E$3:E4)) + B5 - D5)</f>
        <v>102626</v>
      </c>
    </row>
    <row r="6" spans="1:6" x14ac:dyDescent="0.25">
      <c r="A6" s="3">
        <v>45929</v>
      </c>
      <c r="C6" t="str">
        <f>IF(B6="", "", SUM($B$4:B6))</f>
        <v/>
      </c>
      <c r="D6">
        <v>8000</v>
      </c>
      <c r="E6">
        <f>IF(AND(B6="", D6=""), "", N(LOOKUP(2, 1/($E$3:E5&lt;&gt;""), $E$3:E5)) + B6 - D6)</f>
        <v>94626</v>
      </c>
    </row>
    <row r="7" spans="1:6" x14ac:dyDescent="0.25">
      <c r="A7" s="3">
        <v>45936</v>
      </c>
      <c r="C7" t="str">
        <f>IF(B7="", "", SUM($B$4:B7))</f>
        <v/>
      </c>
      <c r="D7">
        <v>8000</v>
      </c>
      <c r="E7">
        <f>IF(AND(B7="", D7=""), "", N(LOOKUP(2, 1/($E$3:E6&lt;&gt;""), $E$3:E6)) + B7 - D7)</f>
        <v>86626</v>
      </c>
    </row>
    <row r="8" spans="1:6" x14ac:dyDescent="0.25">
      <c r="A8" s="3">
        <v>45943</v>
      </c>
      <c r="C8" t="str">
        <f>IF(B8="", "", SUM($B$4:B8))</f>
        <v/>
      </c>
      <c r="D8">
        <v>8000</v>
      </c>
      <c r="E8">
        <f>IF(AND(B8="", D8=""), "", N(LOOKUP(2, 1/($E$3:E7&lt;&gt;""), $E$3:E7)) + B8 - D8)</f>
        <v>78626</v>
      </c>
    </row>
    <row r="9" spans="1:6" x14ac:dyDescent="0.25">
      <c r="A9" s="3">
        <v>45950</v>
      </c>
      <c r="C9" t="str">
        <f>IF(B9="", "", SUM($B$4:B9))</f>
        <v/>
      </c>
      <c r="D9">
        <v>8000</v>
      </c>
      <c r="E9">
        <f>IF(AND(B9="", D9=""), "", N(LOOKUP(2, 1/($E$3:E8&lt;&gt;""), $E$3:E8)) + B9 - D9)</f>
        <v>70626</v>
      </c>
    </row>
    <row r="10" spans="1:6" x14ac:dyDescent="0.25">
      <c r="A10" s="3">
        <v>45957</v>
      </c>
      <c r="B10">
        <v>43056</v>
      </c>
      <c r="C10">
        <f>IF(B10="", "", SUM($B$4:B10))</f>
        <v>153682</v>
      </c>
      <c r="E10">
        <f>IF(AND(B10="", D10=""), "", N(LOOKUP(2, 1/($E$3:E9&lt;&gt;""), $E$3:E9)) + B10 - D10)</f>
        <v>113682</v>
      </c>
    </row>
    <row r="11" spans="1:6" x14ac:dyDescent="0.25">
      <c r="A11" s="3">
        <v>45957</v>
      </c>
      <c r="C11" t="str">
        <f>IF(B11="", "", SUM($B$4:B11))</f>
        <v/>
      </c>
      <c r="D11">
        <v>8000</v>
      </c>
      <c r="E11">
        <f>IF(AND(B11="", D11=""), "", N(LOOKUP(2, 1/($E$3:E10&lt;&gt;""), $E$3:E10)) + B11 - D11)</f>
        <v>105682</v>
      </c>
    </row>
    <row r="12" spans="1:6" x14ac:dyDescent="0.25">
      <c r="A12" s="3">
        <v>45965</v>
      </c>
      <c r="C12" t="str">
        <f>IF(B12="", "", SUM($B$4:B12))</f>
        <v/>
      </c>
      <c r="D12">
        <v>7000</v>
      </c>
      <c r="E12">
        <f>IF(AND(B12="", D12=""), "", N(LOOKUP(2, 1/($E$3:E11&lt;&gt;""), $E$3:E11)) + B12 - D12)</f>
        <v>98682</v>
      </c>
    </row>
    <row r="13" spans="1:6" x14ac:dyDescent="0.25">
      <c r="A13" s="3">
        <v>45971</v>
      </c>
      <c r="C13" t="str">
        <f>IF(B13="", "", SUM($B$4:B13))</f>
        <v/>
      </c>
      <c r="D13">
        <v>7000</v>
      </c>
      <c r="E13">
        <f>IF(AND(B13="", D13=""), "", N(LOOKUP(2, 1/($E$3:E12&lt;&gt;""), $E$3:E12)) + B13 - D13)</f>
        <v>91682</v>
      </c>
    </row>
    <row r="14" spans="1:6" x14ac:dyDescent="0.25">
      <c r="A14" s="3">
        <v>45978</v>
      </c>
      <c r="C14" t="str">
        <f>IF(B14="", "", SUM($B$4:B14))</f>
        <v/>
      </c>
      <c r="D14">
        <v>7000</v>
      </c>
      <c r="E14">
        <f>IF(AND(B14="", D14=""), "", N(LOOKUP(2, 1/($E$3:E13&lt;&gt;""), $E$3:E13)) + B14 - D14)</f>
        <v>84682</v>
      </c>
    </row>
    <row r="15" spans="1:6" x14ac:dyDescent="0.25">
      <c r="A15" s="3">
        <v>45988</v>
      </c>
      <c r="C15" t="str">
        <f>IF(B15="", "", SUM($B$4:B15))</f>
        <v/>
      </c>
      <c r="D15">
        <v>7000</v>
      </c>
      <c r="E15">
        <f>IF(AND(B15="", D15=""), "", N(LOOKUP(2, 1/($E$3:E14&lt;&gt;""), $E$3:E14)) + B15 - D15)</f>
        <v>77682</v>
      </c>
      <c r="F15" s="4" t="s">
        <v>26</v>
      </c>
    </row>
    <row r="16" spans="1:6" x14ac:dyDescent="0.25">
      <c r="A16" s="3">
        <v>45992</v>
      </c>
      <c r="C16" t="str">
        <f>IF(B16="", "", SUM($B$4:B16))</f>
        <v/>
      </c>
      <c r="D16">
        <v>8000</v>
      </c>
      <c r="E16">
        <f>IF(AND(B16="", D16=""), "", N(LOOKUP(2, 1/($E$3:E15&lt;&gt;""), $E$3:E15)) + B16 - D16)</f>
        <v>69682</v>
      </c>
    </row>
    <row r="17" spans="1:6" x14ac:dyDescent="0.25">
      <c r="A17" s="3">
        <v>45994</v>
      </c>
      <c r="B17">
        <v>47506</v>
      </c>
      <c r="C17">
        <f>IF(B17="", "", SUM($B$4:B17))</f>
        <v>201188</v>
      </c>
      <c r="E17">
        <f>IF(AND(B17="", D17=""), "", N(LOOKUP(2, 1/($E$3:E16&lt;&gt;""), $E$3:E16)) + B17 - D17)</f>
        <v>117188</v>
      </c>
    </row>
    <row r="18" spans="1:6" x14ac:dyDescent="0.25">
      <c r="A18" s="3">
        <v>45994</v>
      </c>
      <c r="C18" t="str">
        <f>IF(B18="", "", SUM($B$4:B18))</f>
        <v/>
      </c>
      <c r="D18">
        <v>1000</v>
      </c>
      <c r="E18">
        <f>IF(AND(B18="", D18=""), "", N(LOOKUP(2, 1/($E$3:E17&lt;&gt;""), $E$3:E17)) + B18 - D18)</f>
        <v>116188</v>
      </c>
    </row>
    <row r="19" spans="1:6" x14ac:dyDescent="0.25">
      <c r="A19" s="3">
        <v>46002</v>
      </c>
      <c r="C19" t="str">
        <f>IF(B19="", "", SUM($B$4:B19))</f>
        <v/>
      </c>
      <c r="D19">
        <v>7000</v>
      </c>
      <c r="E19">
        <f>IF(AND(B19="", D19=""), "", N(LOOKUP(2, 1/($E$3:E18&lt;&gt;""), $E$3:E18)) + B19 - D19)</f>
        <v>109188</v>
      </c>
      <c r="F19" s="4" t="s">
        <v>26</v>
      </c>
    </row>
    <row r="20" spans="1:6" x14ac:dyDescent="0.25">
      <c r="A20" s="3">
        <v>46006</v>
      </c>
      <c r="C20" t="str">
        <f>IF(B20="", "", SUM($B$4:B20))</f>
        <v/>
      </c>
      <c r="D20">
        <v>7000</v>
      </c>
      <c r="E20">
        <f>IF(AND(B20="", D20=""), "", N(LOOKUP(2, 1/($E$3:E19&lt;&gt;""), $E$3:E19)) + B20 - D20)</f>
        <v>102188</v>
      </c>
    </row>
    <row r="21" spans="1:6" x14ac:dyDescent="0.25">
      <c r="A21" s="3">
        <v>46020</v>
      </c>
      <c r="B21">
        <v>18732</v>
      </c>
      <c r="C21">
        <f>IF(B21="", "", SUM($B$4:B21))</f>
        <v>219920</v>
      </c>
      <c r="E21">
        <f>IF(AND(B21="", D21=""), "", N(LOOKUP(2, 1/($E$3:E20&lt;&gt;""), $E$3:E20)) + B21 - D21)</f>
        <v>120920</v>
      </c>
    </row>
    <row r="22" spans="1:6" x14ac:dyDescent="0.25">
      <c r="A22" s="3">
        <v>46020</v>
      </c>
      <c r="C22" t="str">
        <f>IF(B22="", "", SUM($B$4:B22))</f>
        <v/>
      </c>
      <c r="D22">
        <v>10000</v>
      </c>
      <c r="E22">
        <f>IF(AND(B22="", D22=""), "", N(LOOKUP(2, 1/($E$3:E21&lt;&gt;""), $E$3:E21)) + B22 - D22)</f>
        <v>110920</v>
      </c>
    </row>
    <row r="23" spans="1:6" x14ac:dyDescent="0.25">
      <c r="A23" s="3">
        <v>46027</v>
      </c>
      <c r="C23" t="str">
        <f>IF(B23="", "", SUM($B$4:B23))</f>
        <v/>
      </c>
      <c r="D23">
        <v>7000</v>
      </c>
      <c r="E23">
        <f>IF(AND(B23="", D23=""), "", N(LOOKUP(2, 1/($E$3:E22&lt;&gt;""), $E$3:E22)) + B23 - D23)</f>
        <v>103920</v>
      </c>
    </row>
    <row r="24" spans="1:6" x14ac:dyDescent="0.25">
      <c r="A24" s="3">
        <v>46034</v>
      </c>
      <c r="C24" t="str">
        <f>IF(B24="", "", SUM($B$4:B24))</f>
        <v/>
      </c>
      <c r="D24">
        <v>10000</v>
      </c>
      <c r="E24">
        <f>IF(AND(B24="", D24=""), "", N(LOOKUP(2, 1/($E$3:E23&lt;&gt;""), $E$3:E23)) + B24 - D24)</f>
        <v>93920</v>
      </c>
    </row>
    <row r="25" spans="1:6" x14ac:dyDescent="0.25">
      <c r="A25" s="3">
        <v>46041</v>
      </c>
      <c r="C25" t="str">
        <f>IF(B25="", "", SUM($B$4:B25))</f>
        <v/>
      </c>
      <c r="D25">
        <v>12000</v>
      </c>
      <c r="E25">
        <f>IF(AND(B25="", D25=""), "", N(LOOKUP(2, 1/($E$3:E24&lt;&gt;""), $E$3:E24)) + B25 - D25)</f>
        <v>81920</v>
      </c>
    </row>
    <row r="26" spans="1:6" x14ac:dyDescent="0.25">
      <c r="A26" s="3">
        <v>46048</v>
      </c>
      <c r="C26" t="str">
        <f>IF(B26="", "", SUM($B$4:B26))</f>
        <v/>
      </c>
      <c r="D26">
        <v>12000</v>
      </c>
      <c r="E26">
        <f>IF(AND(B26="", D26=""), "", N(LOOKUP(2, 1/($E$3:E25&lt;&gt;""), $E$3:E25)) + B26 - D26)</f>
        <v>69920</v>
      </c>
    </row>
    <row r="27" spans="1:6" x14ac:dyDescent="0.25">
      <c r="A27" s="3">
        <v>46055</v>
      </c>
      <c r="C27" t="str">
        <f>IF(B27="", "", SUM($B$4:B27))</f>
        <v/>
      </c>
      <c r="D27">
        <v>10000</v>
      </c>
      <c r="E27">
        <f>IF(AND(B27="", D27=""), "", N(LOOKUP(2, 1/($E$3:E26&lt;&gt;""), $E$3:E26)) + B27 - D27)</f>
        <v>59920</v>
      </c>
    </row>
    <row r="28" spans="1:6" x14ac:dyDescent="0.25">
      <c r="A28" s="3">
        <v>46068</v>
      </c>
      <c r="C28" t="str">
        <f>IF(B28="", "", SUM($B$4:B28))</f>
        <v/>
      </c>
      <c r="D28">
        <v>15000</v>
      </c>
      <c r="E28">
        <f>IF(AND(B28="", D28=""), "", N(LOOKUP(2, 1/($E$3:E27&lt;&gt;""), $E$3:E27)) + B28 - D28)</f>
        <v>44920</v>
      </c>
    </row>
    <row r="29" spans="1:6" x14ac:dyDescent="0.25">
      <c r="A29" s="3">
        <v>46072</v>
      </c>
      <c r="B29">
        <v>68900</v>
      </c>
      <c r="C29">
        <f>IF(B29="", "", SUM($B$4:B29))</f>
        <v>288820</v>
      </c>
      <c r="E29">
        <f>IF(AND(B29="", D29=""), "", N(LOOKUP(2, 1/($E$3:E28&lt;&gt;""), $E$3:E28)) + B29 - D29)</f>
        <v>113820</v>
      </c>
    </row>
    <row r="30" spans="1:6" x14ac:dyDescent="0.25">
      <c r="A30" s="3">
        <v>46072</v>
      </c>
      <c r="C30" t="str">
        <f>IF(B30="", "", SUM($B$4:B30))</f>
        <v/>
      </c>
      <c r="D30">
        <v>1000</v>
      </c>
      <c r="E30">
        <f>IF(AND(B30="", D30=""), "", N(LOOKUP(2, 1/($E$3:E29&lt;&gt;""), $E$3:E29)) + B30 - D30)</f>
        <v>112820</v>
      </c>
    </row>
    <row r="31" spans="1:6" x14ac:dyDescent="0.25">
      <c r="A31" s="3">
        <v>46081</v>
      </c>
      <c r="C31" t="str">
        <f>IF(B31="", "", SUM($B$4:B31))</f>
        <v/>
      </c>
      <c r="D31">
        <v>6000</v>
      </c>
      <c r="E31">
        <f>IF(AND(B31="", D31=""), "", N(LOOKUP(2, 1/($E$3:E30&lt;&gt;""), $E$3:E30)) + B31 - D31)</f>
        <v>106820</v>
      </c>
      <c r="F31" s="4" t="s">
        <v>50</v>
      </c>
    </row>
    <row r="32" spans="1:6" x14ac:dyDescent="0.25">
      <c r="A32" s="3">
        <v>46084</v>
      </c>
      <c r="C32" t="str">
        <f>IF(B32="", "", SUM($B$4:B32))</f>
        <v/>
      </c>
      <c r="D32">
        <v>8000</v>
      </c>
      <c r="E32">
        <f>IF(AND(B32="", D32=""), "", N(LOOKUP(2, 1/($E$3:E31&lt;&gt;""), $E$3:E31)) + B32 - D32)</f>
        <v>98820</v>
      </c>
    </row>
    <row r="33" spans="1:6" x14ac:dyDescent="0.25">
      <c r="A33" s="3">
        <v>46096</v>
      </c>
      <c r="C33" t="str">
        <f>IF(B33="", "", SUM($B$4:B33))</f>
        <v/>
      </c>
      <c r="D33">
        <v>10000</v>
      </c>
      <c r="E33">
        <f>IF(AND(B33="", D33=""), "", N(LOOKUP(2, 1/($E$3:E32&lt;&gt;""), $E$3:E32)) + B33 - D33)</f>
        <v>88820</v>
      </c>
    </row>
    <row r="34" spans="1:6" x14ac:dyDescent="0.25">
      <c r="A34" s="3">
        <v>46108</v>
      </c>
      <c r="C34" t="str">
        <f>IF(B34="", "", SUM($B$4:B34))</f>
        <v/>
      </c>
      <c r="D34">
        <v>8000</v>
      </c>
      <c r="E34">
        <f>IF(AND(B34="", D34=""), "", N(LOOKUP(2, 1/($E$3:E33&lt;&gt;""), $E$3:E33)) + B34 - D34)</f>
        <v>80820</v>
      </c>
      <c r="F34" s="4" t="s">
        <v>26</v>
      </c>
    </row>
    <row r="35" spans="1:6" x14ac:dyDescent="0.25">
      <c r="A35" s="3">
        <v>46111</v>
      </c>
      <c r="C35" t="str">
        <f>IF(B35="", "", SUM($B$4:B35))</f>
        <v/>
      </c>
      <c r="D35">
        <v>8000</v>
      </c>
      <c r="E35">
        <f>IF(AND(B35="", D35=""), "", N(LOOKUP(2, 1/($E$3:E34&lt;&gt;""), $E$3:E34)) + B35 - D35)</f>
        <v>72820</v>
      </c>
    </row>
    <row r="36" spans="1:6" x14ac:dyDescent="0.25">
      <c r="A36" s="3">
        <v>46118</v>
      </c>
      <c r="C36" t="str">
        <f>IF(B36="", "", SUM($B$4:B36))</f>
        <v/>
      </c>
      <c r="D36">
        <v>8000</v>
      </c>
      <c r="E36">
        <f>IF(AND(B36="", D36=""), "", N(LOOKUP(2, 1/($E$3:E35&lt;&gt;""), $E$3:E35)) + B36 - D36)</f>
        <v>64820</v>
      </c>
    </row>
    <row r="37" spans="1:6" x14ac:dyDescent="0.25">
      <c r="A37" s="3">
        <v>46125</v>
      </c>
      <c r="C37" t="str">
        <f>IF(B37="", "", SUM($B$4:B37))</f>
        <v/>
      </c>
      <c r="D37">
        <v>10000</v>
      </c>
      <c r="E37">
        <f>IF(AND(B37="", D37=""), "", N(LOOKUP(2, 1/($E$3:E36&lt;&gt;""), $E$3:E36)) + B37 - D37)</f>
        <v>54820</v>
      </c>
    </row>
    <row r="38" spans="1:6" x14ac:dyDescent="0.25">
      <c r="A38" s="3">
        <v>46139</v>
      </c>
      <c r="C38" t="str">
        <f>IF(B38="", "", SUM($B$4:B38))</f>
        <v/>
      </c>
      <c r="D38">
        <v>10000</v>
      </c>
      <c r="E38">
        <f>IF(AND(B38="", D38=""), "", N(LOOKUP(2, 1/($E$3:E37&lt;&gt;""), $E$3:E37)) + B38 - D38)</f>
        <v>44820</v>
      </c>
    </row>
    <row r="39" spans="1:6" x14ac:dyDescent="0.25">
      <c r="A39" s="3">
        <v>46146</v>
      </c>
      <c r="C39" t="str">
        <f>IF(B39="", "", SUM($B$4:B39))</f>
        <v/>
      </c>
      <c r="D39">
        <v>4000</v>
      </c>
      <c r="E39">
        <f>IF(AND(B39="", D39=""), "", N(LOOKUP(2, 1/($E$3:E38&lt;&gt;""), $E$3:E38)) + B39 - D39)</f>
        <v>40820</v>
      </c>
    </row>
    <row r="40" spans="1:6" x14ac:dyDescent="0.25">
      <c r="A40" s="3">
        <v>46156</v>
      </c>
      <c r="C40" t="str">
        <f>IF(B40="", "", SUM($B$4:B40))</f>
        <v/>
      </c>
      <c r="D40">
        <v>6000</v>
      </c>
      <c r="E40">
        <f>IF(AND(B40="", D40=""), "", N(LOOKUP(2, 1/($E$3:E39&lt;&gt;""), $E$3:E39)) + B40 - D40)</f>
        <v>34820</v>
      </c>
      <c r="F40" s="4" t="s">
        <v>26</v>
      </c>
    </row>
    <row r="41" spans="1:6" x14ac:dyDescent="0.25">
      <c r="A41" s="3">
        <v>46163</v>
      </c>
      <c r="B41">
        <v>49796</v>
      </c>
      <c r="C41">
        <f>IF(B41="", "", SUM($B$4:B41))</f>
        <v>338616</v>
      </c>
      <c r="E41">
        <f>IF(AND(B41="", D41=""), "", N(LOOKUP(2, 1/($E$3:E40&lt;&gt;""), $E$3:E40)) + B41 - D41)</f>
        <v>84616</v>
      </c>
    </row>
    <row r="42" spans="1:6" x14ac:dyDescent="0.25">
      <c r="A42" s="3">
        <v>46163</v>
      </c>
      <c r="C42" t="str">
        <f>IF(B42="", "", SUM($B$4:B42))</f>
        <v/>
      </c>
      <c r="D42">
        <v>5000</v>
      </c>
      <c r="E42">
        <f>IF(AND(B42="", D42=""), "", N(LOOKUP(2, 1/($E$3:E41&lt;&gt;""), $E$3:E41)) + B42 - D42)</f>
        <v>79616</v>
      </c>
    </row>
    <row r="43" spans="1:6" x14ac:dyDescent="0.25">
      <c r="A43" s="3">
        <v>46167</v>
      </c>
      <c r="C43" t="str">
        <f>IF(B43="", "", SUM($B$4:B43))</f>
        <v/>
      </c>
      <c r="D43">
        <v>8000</v>
      </c>
      <c r="E43">
        <f>IF(AND(B43="", D43=""), "", N(LOOKUP(2, 1/($E$3:E42&lt;&gt;""), $E$3:E42)) + B43 - D43)</f>
        <v>71616</v>
      </c>
    </row>
    <row r="44" spans="1:6" x14ac:dyDescent="0.25">
      <c r="A44" s="3">
        <v>46174</v>
      </c>
      <c r="C44" t="str">
        <f>IF(B44="", "", SUM($B$4:B44))</f>
        <v/>
      </c>
      <c r="D44">
        <v>10000</v>
      </c>
      <c r="E44">
        <f>IF(AND(B44="", D44=""), "", N(LOOKUP(2, 1/($E$3:E43&lt;&gt;""), $E$3:E43)) + B44 - D44)</f>
        <v>61616</v>
      </c>
    </row>
    <row r="45" spans="1:6" x14ac:dyDescent="0.25">
      <c r="A45" s="3">
        <v>46181</v>
      </c>
      <c r="C45" t="str">
        <f>IF(B45="", "", SUM($B$4:B45))</f>
        <v/>
      </c>
      <c r="D45">
        <v>7000</v>
      </c>
      <c r="E45">
        <f>IF(AND(B45="", D45=""), "", N(LOOKUP(2, 1/($E$3:E44&lt;&gt;""), $E$3:E44)) + B45 - D45)</f>
        <v>54616</v>
      </c>
    </row>
    <row r="46" spans="1:6" x14ac:dyDescent="0.25">
      <c r="A46" s="3">
        <v>46188</v>
      </c>
      <c r="C46" t="str">
        <f>IF(B46="", "", SUM($B$4:B46))</f>
        <v/>
      </c>
      <c r="D46">
        <v>7000</v>
      </c>
      <c r="E46">
        <f>IF(AND(B46="", D46=""), "", N(LOOKUP(2, 1/($E$3:E45&lt;&gt;""), $E$3:E45)) + B46 - D46)</f>
        <v>47616</v>
      </c>
    </row>
    <row r="47" spans="1:6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6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40AB-CFC0-4A8C-AC5B-5A252FF35A2D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28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45853</v>
      </c>
      <c r="B4">
        <v>2548</v>
      </c>
      <c r="C4">
        <f>IF(B4="", "", SUM($B$4:B4))</f>
        <v>2548</v>
      </c>
      <c r="E4">
        <f>IF(AND(B4="", D4=""), "", N(LOOKUP(2, 1/($E$3:E3&lt;&gt;""), $E$3:E3)) + B4 - D4)</f>
        <v>2548</v>
      </c>
    </row>
    <row r="5" spans="1:5" x14ac:dyDescent="0.25">
      <c r="A5" s="3">
        <v>45971</v>
      </c>
      <c r="B5">
        <v>4740</v>
      </c>
      <c r="C5">
        <f>IF(B5="", "", SUM($B$4:B5))</f>
        <v>7288</v>
      </c>
      <c r="E5">
        <f>IF(AND(B5="", D5=""), "", N(LOOKUP(2, 1/($E$3:E4&lt;&gt;""), $E$3:E4)) + B5 - D5)</f>
        <v>7288</v>
      </c>
    </row>
    <row r="6" spans="1:5" x14ac:dyDescent="0.25">
      <c r="A6" s="3">
        <v>45971</v>
      </c>
      <c r="C6" t="str">
        <f>IF(B6="", "", SUM($B$4:B6))</f>
        <v/>
      </c>
      <c r="D6">
        <v>2548</v>
      </c>
      <c r="E6">
        <f>IF(AND(B6="", D6=""), "", N(LOOKUP(2, 1/($E$3:E5&lt;&gt;""), $E$3:E5)) + B6 - D6)</f>
        <v>4740</v>
      </c>
    </row>
    <row r="7" spans="1:5" x14ac:dyDescent="0.25">
      <c r="A7" s="3">
        <v>45978</v>
      </c>
      <c r="B7">
        <v>3360</v>
      </c>
      <c r="C7">
        <f>IF(B7="", "", SUM($B$4:B7))</f>
        <v>10648</v>
      </c>
      <c r="E7">
        <f>IF(AND(B7="", D7=""), "", N(LOOKUP(2, 1/($E$3:E6&lt;&gt;""), $E$3:E6)) + B7 - D7)</f>
        <v>8100</v>
      </c>
    </row>
    <row r="8" spans="1:5" x14ac:dyDescent="0.25">
      <c r="A8" s="3">
        <v>45978</v>
      </c>
      <c r="C8" t="str">
        <f>IF(B8="", "", SUM($B$4:B8))</f>
        <v/>
      </c>
      <c r="D8">
        <v>3360</v>
      </c>
      <c r="E8">
        <f>IF(AND(B8="", D8=""), "", N(LOOKUP(2, 1/($E$3:E7&lt;&gt;""), $E$3:E7)) + B8 - D8)</f>
        <v>4740</v>
      </c>
    </row>
    <row r="9" spans="1:5" x14ac:dyDescent="0.25">
      <c r="A9" s="3">
        <v>45985</v>
      </c>
      <c r="C9" t="str">
        <f>IF(B9="", "", SUM($B$4:B9))</f>
        <v/>
      </c>
      <c r="D9">
        <v>2000</v>
      </c>
      <c r="E9">
        <f>IF(AND(B9="", D9=""), "", N(LOOKUP(2, 1/($E$3:E8&lt;&gt;""), $E$3:E8)) + B9 - D9)</f>
        <v>2740</v>
      </c>
    </row>
    <row r="10" spans="1:5" x14ac:dyDescent="0.25">
      <c r="A10" s="3">
        <v>46006</v>
      </c>
      <c r="C10" t="str">
        <f>IF(B10="", "", SUM($B$4:B10))</f>
        <v/>
      </c>
      <c r="D10">
        <v>2000</v>
      </c>
      <c r="E10">
        <f>IF(AND(B10="", D10=""), "", N(LOOKUP(2, 1/($E$3:E9&lt;&gt;""), $E$3:E9)) + B10 - D10)</f>
        <v>740</v>
      </c>
    </row>
    <row r="11" spans="1:5" x14ac:dyDescent="0.25">
      <c r="A11" s="3">
        <v>46020</v>
      </c>
      <c r="B11">
        <v>5282</v>
      </c>
      <c r="C11">
        <f>IF(B11="", "", SUM($B$4:B11))</f>
        <v>15930</v>
      </c>
      <c r="E11">
        <f>IF(AND(B11="", D11=""), "", N(LOOKUP(2, 1/($E$3:E10&lt;&gt;""), $E$3:E10)) + B11 - D11)</f>
        <v>6022</v>
      </c>
    </row>
    <row r="12" spans="1:5" x14ac:dyDescent="0.25">
      <c r="A12" s="3">
        <v>46020</v>
      </c>
      <c r="C12" t="str">
        <f>IF(B12="", "", SUM($B$4:B12))</f>
        <v/>
      </c>
      <c r="D12">
        <v>5000</v>
      </c>
      <c r="E12">
        <f>IF(AND(B12="", D12=""), "", N(LOOKUP(2, 1/($E$3:E11&lt;&gt;""), $E$3:E11)) + B12 - D12)</f>
        <v>1022</v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38AE-FCCF-45C7-965E-2844C3354B4F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29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45915</v>
      </c>
      <c r="B4">
        <v>8450</v>
      </c>
      <c r="C4">
        <f>IF(B4="", "", SUM($B$4:B4))</f>
        <v>8450</v>
      </c>
      <c r="E4">
        <f>IF(AND(B4="", D4=""), "", N(LOOKUP(2, 1/($E$3:E3&lt;&gt;""), $E$3:E3)) + B4 - D4)</f>
        <v>8450</v>
      </c>
    </row>
    <row r="5" spans="1:5" x14ac:dyDescent="0.25">
      <c r="A5" s="3">
        <v>45943</v>
      </c>
      <c r="C5" t="str">
        <f>IF(B5="", "", SUM($B$4:B5))</f>
        <v/>
      </c>
      <c r="D5">
        <v>2000</v>
      </c>
      <c r="E5">
        <f>IF(AND(B5="", D5=""), "", N(LOOKUP(2, 1/($E$3:E4&lt;&gt;""), $E$3:E4)) + B5 - D5)</f>
        <v>6450</v>
      </c>
    </row>
    <row r="6" spans="1:5" x14ac:dyDescent="0.25">
      <c r="A6" s="3">
        <v>46041</v>
      </c>
      <c r="C6" t="str">
        <f>IF(B6="", "", SUM($B$4:B6))</f>
        <v/>
      </c>
      <c r="D6">
        <v>3000</v>
      </c>
      <c r="E6">
        <f>IF(AND(B6="", D6=""), "", N(LOOKUP(2, 1/($E$3:E5&lt;&gt;""), $E$3:E5)) + B6 - D6)</f>
        <v>3450</v>
      </c>
    </row>
    <row r="7" spans="1:5" x14ac:dyDescent="0.25">
      <c r="C7" t="str">
        <f>IF(B7="", "", SUM($B$4:B7))</f>
        <v/>
      </c>
      <c r="E7" t="str">
        <f>IF(AND(B7="", D7=""), "", N(LOOKUP(2, 1/($E$3:E6&lt;&gt;""), $E$3:E6)) + B7 - D7)</f>
        <v/>
      </c>
    </row>
    <row r="8" spans="1:5" x14ac:dyDescent="0.25">
      <c r="C8" t="str">
        <f>IF(B8="", "", SUM($B$4:B8))</f>
        <v/>
      </c>
      <c r="E8" t="str">
        <f>IF(AND(B8="", D8=""), "", N(LOOKUP(2, 1/($E$3:E7&lt;&gt;""), $E$3:E7)) + B8 - D8)</f>
        <v/>
      </c>
    </row>
    <row r="9" spans="1:5" x14ac:dyDescent="0.25">
      <c r="C9" t="str">
        <f>IF(B9="", "", SUM($B$4:B9))</f>
        <v/>
      </c>
      <c r="E9" t="str">
        <f>IF(AND(B9="", D9=""), "", N(LOOKUP(2, 1/($E$3:E8&lt;&gt;""), $E$3:E8)) + B9 - D9)</f>
        <v/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CCAC-75E5-48F3-9BED-D5F47C49037F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30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45957</v>
      </c>
      <c r="B4">
        <v>74778</v>
      </c>
      <c r="C4">
        <f>IF(B4="", "", SUM($B$4:B4))</f>
        <v>74778</v>
      </c>
      <c r="E4">
        <f>IF(AND(B4="", D4=""), "", N(LOOKUP(2, 1/($E$3:E3&lt;&gt;""), $E$3:E3)) + B4 - D4)</f>
        <v>74778</v>
      </c>
    </row>
    <row r="5" spans="1:5" x14ac:dyDescent="0.25">
      <c r="A5" s="3">
        <v>45957</v>
      </c>
      <c r="C5" t="str">
        <f>IF(B5="", "", SUM($B$4:B5))</f>
        <v/>
      </c>
      <c r="D5">
        <v>10000</v>
      </c>
      <c r="E5">
        <f>IF(AND(B5="", D5=""), "", N(LOOKUP(2, 1/($E$3:E4&lt;&gt;""), $E$3:E4)) + B5 - D5)</f>
        <v>64778</v>
      </c>
    </row>
    <row r="6" spans="1:5" x14ac:dyDescent="0.25">
      <c r="A6" s="3">
        <v>45964</v>
      </c>
      <c r="C6" t="str">
        <f>IF(B6="", "", SUM($B$4:B6))</f>
        <v/>
      </c>
      <c r="D6">
        <v>5000</v>
      </c>
      <c r="E6">
        <f>IF(AND(B6="", D6=""), "", N(LOOKUP(2, 1/($E$3:E5&lt;&gt;""), $E$3:E5)) + B6 - D6)</f>
        <v>59778</v>
      </c>
    </row>
    <row r="7" spans="1:5" x14ac:dyDescent="0.25">
      <c r="A7" s="3">
        <v>45971</v>
      </c>
      <c r="C7" t="str">
        <f>IF(B7="", "", SUM($B$4:B7))</f>
        <v/>
      </c>
      <c r="D7">
        <v>5000</v>
      </c>
      <c r="E7">
        <f>IF(AND(B7="", D7=""), "", N(LOOKUP(2, 1/($E$3:E6&lt;&gt;""), $E$3:E6)) + B7 - D7)</f>
        <v>54778</v>
      </c>
    </row>
    <row r="8" spans="1:5" x14ac:dyDescent="0.25">
      <c r="A8" s="3">
        <v>45978</v>
      </c>
      <c r="C8" t="str">
        <f>IF(B8="", "", SUM($B$4:B8))</f>
        <v/>
      </c>
      <c r="D8">
        <v>6000</v>
      </c>
      <c r="E8">
        <f>IF(AND(B8="", D8=""), "", N(LOOKUP(2, 1/($E$3:E7&lt;&gt;""), $E$3:E7)) + B8 - D8)</f>
        <v>48778</v>
      </c>
    </row>
    <row r="9" spans="1:5" x14ac:dyDescent="0.25">
      <c r="A9" s="3">
        <v>45985</v>
      </c>
      <c r="C9" t="str">
        <f>IF(B9="", "", SUM($B$4:B9))</f>
        <v/>
      </c>
      <c r="D9">
        <v>7500</v>
      </c>
      <c r="E9">
        <f>IF(AND(B9="", D9=""), "", N(LOOKUP(2, 1/($E$3:E8&lt;&gt;""), $E$3:E8)) + B9 - D9)</f>
        <v>41278</v>
      </c>
    </row>
    <row r="10" spans="1:5" x14ac:dyDescent="0.25">
      <c r="A10" s="3">
        <v>45992</v>
      </c>
      <c r="C10" t="str">
        <f>IF(B10="", "", SUM($B$4:B10))</f>
        <v/>
      </c>
      <c r="D10">
        <v>5000</v>
      </c>
      <c r="E10">
        <f>IF(AND(B10="", D10=""), "", N(LOOKUP(2, 1/($E$3:E9&lt;&gt;""), $E$3:E9)) + B10 - D10)</f>
        <v>36278</v>
      </c>
    </row>
    <row r="11" spans="1:5" x14ac:dyDescent="0.25">
      <c r="A11" s="3">
        <v>45999</v>
      </c>
      <c r="C11" t="str">
        <f>IF(B11="", "", SUM($B$4:B11))</f>
        <v/>
      </c>
      <c r="D11">
        <v>5000</v>
      </c>
      <c r="E11">
        <f>IF(AND(B11="", D11=""), "", N(LOOKUP(2, 1/($E$3:E10&lt;&gt;""), $E$3:E10)) + B11 - D11)</f>
        <v>31278</v>
      </c>
    </row>
    <row r="12" spans="1:5" x14ac:dyDescent="0.25">
      <c r="A12" s="3">
        <v>46006</v>
      </c>
      <c r="C12" t="str">
        <f>IF(B12="", "", SUM($B$4:B12))</f>
        <v/>
      </c>
      <c r="D12">
        <v>6000</v>
      </c>
      <c r="E12">
        <f>IF(AND(B12="", D12=""), "", N(LOOKUP(2, 1/($E$3:E11&lt;&gt;""), $E$3:E11)) + B12 - D12)</f>
        <v>25278</v>
      </c>
    </row>
    <row r="13" spans="1:5" x14ac:dyDescent="0.25">
      <c r="A13" s="3">
        <v>46013</v>
      </c>
      <c r="C13" t="str">
        <f>IF(B13="", "", SUM($B$4:B13))</f>
        <v/>
      </c>
      <c r="D13">
        <v>6278</v>
      </c>
      <c r="E13">
        <f>IF(AND(B13="", D13=""), "", N(LOOKUP(2, 1/($E$3:E12&lt;&gt;""), $E$3:E12)) + B13 - D13)</f>
        <v>19000</v>
      </c>
    </row>
    <row r="14" spans="1:5" x14ac:dyDescent="0.25">
      <c r="A14" s="3">
        <v>46020</v>
      </c>
      <c r="B14">
        <v>40988</v>
      </c>
      <c r="C14">
        <f>IF(B14="", "", SUM($B$4:B14))</f>
        <v>115766</v>
      </c>
      <c r="E14">
        <f>IF(AND(B14="", D14=""), "", N(LOOKUP(2, 1/($E$3:E13&lt;&gt;""), $E$3:E13)) + B14 - D14)</f>
        <v>59988</v>
      </c>
    </row>
    <row r="15" spans="1:5" x14ac:dyDescent="0.25">
      <c r="A15" s="3">
        <v>46020</v>
      </c>
      <c r="C15" t="str">
        <f>IF(B15="", "", SUM($B$4:B15))</f>
        <v/>
      </c>
      <c r="D15">
        <v>7000</v>
      </c>
      <c r="E15">
        <f>IF(AND(B15="", D15=""), "", N(LOOKUP(2, 1/($E$3:E14&lt;&gt;""), $E$3:E14)) + B15 - D15)</f>
        <v>52988</v>
      </c>
    </row>
    <row r="16" spans="1:5" x14ac:dyDescent="0.25">
      <c r="A16" s="3">
        <v>46027</v>
      </c>
      <c r="C16" t="str">
        <f>IF(B16="", "", SUM($B$4:B16))</f>
        <v/>
      </c>
      <c r="D16">
        <v>10000</v>
      </c>
      <c r="E16">
        <f>IF(AND(B16="", D16=""), "", N(LOOKUP(2, 1/($E$3:E15&lt;&gt;""), $E$3:E15)) + B16 - D16)</f>
        <v>42988</v>
      </c>
    </row>
    <row r="17" spans="1:5" x14ac:dyDescent="0.25">
      <c r="A17" s="3">
        <v>46034</v>
      </c>
      <c r="C17" t="str">
        <f>IF(B17="", "", SUM($B$4:B17))</f>
        <v/>
      </c>
      <c r="D17">
        <v>3500</v>
      </c>
      <c r="E17">
        <f>IF(AND(B17="", D17=""), "", N(LOOKUP(2, 1/($E$3:E16&lt;&gt;""), $E$3:E16)) + B17 - D17)</f>
        <v>39488</v>
      </c>
    </row>
    <row r="18" spans="1:5" x14ac:dyDescent="0.25">
      <c r="A18" s="3">
        <v>46041</v>
      </c>
      <c r="C18" t="str">
        <f>IF(B18="", "", SUM($B$4:B18))</f>
        <v/>
      </c>
      <c r="D18">
        <v>8000</v>
      </c>
      <c r="E18">
        <f>IF(AND(B18="", D18=""), "", N(LOOKUP(2, 1/($E$3:E17&lt;&gt;""), $E$3:E17)) + B18 - D18)</f>
        <v>31488</v>
      </c>
    </row>
    <row r="19" spans="1:5" x14ac:dyDescent="0.25">
      <c r="A19" s="3">
        <v>46048</v>
      </c>
      <c r="C19" t="str">
        <f>IF(B19="", "", SUM($B$4:B19))</f>
        <v/>
      </c>
      <c r="D19">
        <v>10000</v>
      </c>
      <c r="E19">
        <f>IF(AND(B19="", D19=""), "", N(LOOKUP(2, 1/($E$3:E18&lt;&gt;""), $E$3:E18)) + B19 - D19)</f>
        <v>21488</v>
      </c>
    </row>
    <row r="20" spans="1:5" x14ac:dyDescent="0.25">
      <c r="A20" s="3">
        <v>46055</v>
      </c>
      <c r="C20" t="str">
        <f>IF(B20="", "", SUM($B$4:B20))</f>
        <v/>
      </c>
      <c r="D20">
        <v>5488</v>
      </c>
      <c r="E20">
        <f>IF(AND(B20="", D20=""), "", N(LOOKUP(2, 1/($E$3:E19&lt;&gt;""), $E$3:E19)) + B20 - D20)</f>
        <v>16000</v>
      </c>
    </row>
    <row r="21" spans="1:5" x14ac:dyDescent="0.25">
      <c r="A21" s="3">
        <v>46063</v>
      </c>
      <c r="C21" t="str">
        <f>IF(B21="", "", SUM($B$4:B21))</f>
        <v/>
      </c>
      <c r="D21">
        <v>6000</v>
      </c>
      <c r="E21">
        <f>IF(AND(B21="", D21=""), "", N(LOOKUP(2, 1/($E$3:E20&lt;&gt;""), $E$3:E20)) + B21 - D21)</f>
        <v>10000</v>
      </c>
    </row>
    <row r="22" spans="1:5" x14ac:dyDescent="0.25">
      <c r="A22" s="3">
        <v>46068</v>
      </c>
      <c r="C22" t="str">
        <f>IF(B22="", "", SUM($B$4:B22))</f>
        <v/>
      </c>
      <c r="D22">
        <v>3500</v>
      </c>
      <c r="E22">
        <f>IF(AND(B22="", D22=""), "", N(LOOKUP(2, 1/($E$3:E21&lt;&gt;""), $E$3:E21)) + B22 - D22)</f>
        <v>6500</v>
      </c>
    </row>
    <row r="23" spans="1:5" x14ac:dyDescent="0.25">
      <c r="A23" s="3">
        <v>46072</v>
      </c>
      <c r="B23">
        <v>27182</v>
      </c>
      <c r="C23">
        <f>IF(B23="", "", SUM($B$4:B23))</f>
        <v>142948</v>
      </c>
      <c r="E23">
        <f>IF(AND(B23="", D23=""), "", N(LOOKUP(2, 1/($E$3:E22&lt;&gt;""), $E$3:E22)) + B23 - D23)</f>
        <v>33682</v>
      </c>
    </row>
    <row r="24" spans="1:5" x14ac:dyDescent="0.25">
      <c r="A24" s="3">
        <v>46072</v>
      </c>
      <c r="C24" t="str">
        <f>IF(B24="", "", SUM($B$4:B24))</f>
        <v/>
      </c>
      <c r="D24">
        <v>2082</v>
      </c>
      <c r="E24">
        <f>IF(AND(B24="", D24=""), "", N(LOOKUP(2, 1/($E$3:E23&lt;&gt;""), $E$3:E23)) + B24 - D24)</f>
        <v>31600</v>
      </c>
    </row>
    <row r="25" spans="1:5" x14ac:dyDescent="0.25">
      <c r="A25" s="3">
        <v>46083</v>
      </c>
      <c r="C25" t="str">
        <f>IF(B25="", "", SUM($B$4:B25))</f>
        <v/>
      </c>
      <c r="D25">
        <v>2000</v>
      </c>
      <c r="E25">
        <f>IF(AND(B25="", D25=""), "", N(LOOKUP(2, 1/($E$3:E24&lt;&gt;""), $E$3:E24)) + B25 - D25)</f>
        <v>29600</v>
      </c>
    </row>
    <row r="26" spans="1:5" x14ac:dyDescent="0.25">
      <c r="A26" s="3">
        <v>46090</v>
      </c>
      <c r="C26" t="str">
        <f>IF(B26="", "", SUM($B$4:B26))</f>
        <v/>
      </c>
      <c r="D26">
        <v>7000</v>
      </c>
      <c r="E26">
        <f>IF(AND(B26="", D26=""), "", N(LOOKUP(2, 1/($E$3:E25&lt;&gt;""), $E$3:E25)) + B26 - D26)</f>
        <v>22600</v>
      </c>
    </row>
    <row r="27" spans="1:5" x14ac:dyDescent="0.25">
      <c r="A27" s="3">
        <v>46096</v>
      </c>
      <c r="C27" t="str">
        <f>IF(B27="", "", SUM($B$4:B27))</f>
        <v/>
      </c>
      <c r="D27">
        <v>2600</v>
      </c>
      <c r="E27">
        <f>IF(AND(B27="", D27=""), "", N(LOOKUP(2, 1/($E$3:E26&lt;&gt;""), $E$3:E26)) + B27 - D27)</f>
        <v>20000</v>
      </c>
    </row>
    <row r="28" spans="1:5" x14ac:dyDescent="0.25">
      <c r="A28" s="3">
        <v>46111</v>
      </c>
      <c r="C28" t="str">
        <f>IF(B28="", "", SUM($B$4:B28))</f>
        <v/>
      </c>
      <c r="D28">
        <v>4000</v>
      </c>
      <c r="E28">
        <f>IF(AND(B28="", D28=""), "", N(LOOKUP(2, 1/($E$3:E27&lt;&gt;""), $E$3:E27)) + B28 - D28)</f>
        <v>16000</v>
      </c>
    </row>
    <row r="29" spans="1:5" x14ac:dyDescent="0.25">
      <c r="A29" s="3">
        <v>46118</v>
      </c>
      <c r="B29">
        <v>50528</v>
      </c>
      <c r="C29">
        <f>IF(B29="", "", SUM($B$4:B29))</f>
        <v>193476</v>
      </c>
      <c r="E29">
        <f>IF(AND(B29="", D29=""), "", N(LOOKUP(2, 1/($E$3:E28&lt;&gt;""), $E$3:E28)) + B29 - D29)</f>
        <v>66528</v>
      </c>
    </row>
    <row r="30" spans="1:5" x14ac:dyDescent="0.25">
      <c r="A30" s="3">
        <v>46118</v>
      </c>
      <c r="C30" t="str">
        <f>IF(B30="", "", SUM($B$4:B30))</f>
        <v/>
      </c>
      <c r="D30">
        <v>10000</v>
      </c>
      <c r="E30">
        <f>IF(AND(B30="", D30=""), "", N(LOOKUP(2, 1/($E$3:E29&lt;&gt;""), $E$3:E29)) + B30 - D30)</f>
        <v>56528</v>
      </c>
    </row>
    <row r="31" spans="1:5" x14ac:dyDescent="0.25">
      <c r="A31" s="3">
        <v>46125</v>
      </c>
      <c r="C31" t="str">
        <f>IF(B31="", "", SUM($B$4:B31))</f>
        <v/>
      </c>
      <c r="D31">
        <v>4528</v>
      </c>
      <c r="E31">
        <f>IF(AND(B31="", D31=""), "", N(LOOKUP(2, 1/($E$3:E30&lt;&gt;""), $E$3:E30)) + B31 - D31)</f>
        <v>52000</v>
      </c>
    </row>
    <row r="32" spans="1:5" x14ac:dyDescent="0.25">
      <c r="A32" s="3">
        <v>46132</v>
      </c>
      <c r="C32" t="str">
        <f>IF(B32="", "", SUM($B$4:B32))</f>
        <v/>
      </c>
      <c r="D32">
        <v>3000</v>
      </c>
      <c r="E32">
        <f>IF(AND(B32="", D32=""), "", N(LOOKUP(2, 1/($E$3:E31&lt;&gt;""), $E$3:E31)) + B32 - D32)</f>
        <v>49000</v>
      </c>
    </row>
    <row r="33" spans="1:6" x14ac:dyDescent="0.25">
      <c r="A33" s="3">
        <v>46139</v>
      </c>
      <c r="C33" t="str">
        <f>IF(B33="", "", SUM($B$4:B33))</f>
        <v/>
      </c>
      <c r="D33">
        <v>3000</v>
      </c>
      <c r="E33">
        <f>IF(AND(B33="", D33=""), "", N(LOOKUP(2, 1/($E$3:E32&lt;&gt;""), $E$3:E32)) + B33 - D33)</f>
        <v>46000</v>
      </c>
    </row>
    <row r="34" spans="1:6" x14ac:dyDescent="0.25">
      <c r="A34" s="3">
        <v>46146</v>
      </c>
      <c r="C34" t="str">
        <f>IF(B34="", "", SUM($B$4:B34))</f>
        <v/>
      </c>
      <c r="D34">
        <v>5000</v>
      </c>
      <c r="E34">
        <f>IF(AND(B34="", D34=""), "", N(LOOKUP(2, 1/($E$3:E33&lt;&gt;""), $E$3:E33)) + B34 - D34)</f>
        <v>41000</v>
      </c>
    </row>
    <row r="35" spans="1:6" x14ac:dyDescent="0.25">
      <c r="A35" s="3">
        <v>46154</v>
      </c>
      <c r="C35" t="str">
        <f>IF(B35="", "", SUM($B$4:B35))</f>
        <v/>
      </c>
      <c r="D35">
        <v>5000</v>
      </c>
      <c r="E35">
        <f>IF(AND(B35="", D35=""), "", N(LOOKUP(2, 1/($E$3:E34&lt;&gt;""), $E$3:E34)) + B35 - D35)</f>
        <v>36000</v>
      </c>
      <c r="F35" s="4" t="s">
        <v>54</v>
      </c>
    </row>
    <row r="36" spans="1:6" x14ac:dyDescent="0.25">
      <c r="A36" s="3">
        <v>46160</v>
      </c>
      <c r="C36" t="str">
        <f>IF(B36="", "", SUM($B$4:B36))</f>
        <v/>
      </c>
      <c r="D36">
        <v>6000</v>
      </c>
      <c r="E36">
        <f>IF(AND(B36="", D36=""), "", N(LOOKUP(2, 1/($E$3:E35&lt;&gt;""), $E$3:E35)) + B36 - D36)</f>
        <v>30000</v>
      </c>
    </row>
    <row r="37" spans="1:6" x14ac:dyDescent="0.25">
      <c r="A37" s="3">
        <v>46167</v>
      </c>
      <c r="C37" t="str">
        <f>IF(B37="", "", SUM($B$4:B37))</f>
        <v/>
      </c>
      <c r="D37">
        <v>5000</v>
      </c>
      <c r="E37">
        <f>IF(AND(B37="", D37=""), "", N(LOOKUP(2, 1/($E$3:E36&lt;&gt;""), $E$3:E36)) + B37 - D37)</f>
        <v>25000</v>
      </c>
    </row>
    <row r="38" spans="1:6" x14ac:dyDescent="0.25">
      <c r="A38" s="3">
        <v>46174</v>
      </c>
      <c r="C38" t="str">
        <f>IF(B38="", "", SUM($B$4:B38))</f>
        <v/>
      </c>
      <c r="D38">
        <v>5000</v>
      </c>
      <c r="E38">
        <f>IF(AND(B38="", D38=""), "", N(LOOKUP(2, 1/($E$3:E37&lt;&gt;""), $E$3:E37)) + B38 - D38)</f>
        <v>20000</v>
      </c>
    </row>
    <row r="39" spans="1:6" x14ac:dyDescent="0.25">
      <c r="A39" s="3">
        <v>46181</v>
      </c>
      <c r="C39" t="str">
        <f>IF(B39="", "", SUM($B$4:B39))</f>
        <v/>
      </c>
      <c r="D39">
        <v>5000</v>
      </c>
      <c r="E39">
        <f>IF(AND(B39="", D39=""), "", N(LOOKUP(2, 1/($E$3:E38&lt;&gt;""), $E$3:E38)) + B39 - D39)</f>
        <v>15000</v>
      </c>
    </row>
    <row r="40" spans="1:6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1:6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1:6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1:6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1:6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1:6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1:6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1:6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6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6205-1BB2-4CA9-B452-C1919C4A11DE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22" style="4" bestFit="1" customWidth="1"/>
  </cols>
  <sheetData>
    <row r="1" spans="1:6" ht="15" customHeight="1" x14ac:dyDescent="0.25">
      <c r="A1" s="25" t="str">
        <f>HYPERLINK("#'Home'!A1", "Home")</f>
        <v>Home</v>
      </c>
      <c r="B1" s="24" t="s">
        <v>31</v>
      </c>
      <c r="C1" s="24"/>
      <c r="D1" s="24"/>
      <c r="E1" s="24"/>
    </row>
    <row r="2" spans="1:6" ht="15" customHeight="1" x14ac:dyDescent="0.25">
      <c r="A2" s="26"/>
      <c r="B2" s="24"/>
      <c r="C2" s="24"/>
      <c r="D2" s="24"/>
      <c r="E2" s="24"/>
    </row>
    <row r="3" spans="1:6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6" x14ac:dyDescent="0.25">
      <c r="A4" s="3">
        <v>45915</v>
      </c>
      <c r="B4">
        <v>30011</v>
      </c>
      <c r="C4">
        <f>IF(B4="", "", SUM($B$4:B4))</f>
        <v>30011</v>
      </c>
      <c r="E4">
        <f>IF(AND(B4="", D4=""), "", N(LOOKUP(2, 1/($E$3:E3&lt;&gt;""), $E$3:E3)) + B4 - D4)</f>
        <v>30011</v>
      </c>
    </row>
    <row r="5" spans="1:6" x14ac:dyDescent="0.25">
      <c r="A5" s="3">
        <v>45929</v>
      </c>
      <c r="C5" t="str">
        <f>IF(B5="", "", SUM($B$4:B5))</f>
        <v/>
      </c>
      <c r="D5">
        <v>20000</v>
      </c>
      <c r="E5">
        <f>IF(AND(B5="", D5=""), "", N(LOOKUP(2, 1/($E$3:E4&lt;&gt;""), $E$3:E4)) + B5 - D5)</f>
        <v>10011</v>
      </c>
    </row>
    <row r="6" spans="1:6" x14ac:dyDescent="0.25">
      <c r="A6" s="3">
        <v>45936</v>
      </c>
      <c r="B6">
        <v>72825</v>
      </c>
      <c r="C6">
        <f>IF(B6="", "", SUM($B$4:B6))</f>
        <v>102836</v>
      </c>
      <c r="E6">
        <f>IF(AND(B6="", D6=""), "", N(LOOKUP(2, 1/($E$3:E5&lt;&gt;""), $E$3:E5)) + B6 - D6)</f>
        <v>82836</v>
      </c>
    </row>
    <row r="7" spans="1:6" x14ac:dyDescent="0.25">
      <c r="A7" s="3">
        <v>45937</v>
      </c>
      <c r="C7" t="str">
        <f>IF(B7="", "", SUM($B$4:B7))</f>
        <v/>
      </c>
      <c r="D7">
        <v>4600</v>
      </c>
      <c r="E7">
        <f>IF(AND(B7="", D7=""), "", N(LOOKUP(2, 1/($E$3:E6&lt;&gt;""), $E$3:E6)) + B7 - D7)</f>
        <v>78236</v>
      </c>
    </row>
    <row r="8" spans="1:6" x14ac:dyDescent="0.25">
      <c r="A8" s="3">
        <v>45947</v>
      </c>
      <c r="B8">
        <v>17800</v>
      </c>
      <c r="C8">
        <f>IF(B8="", "", SUM($B$4:B8))</f>
        <v>120636</v>
      </c>
      <c r="E8">
        <f>IF(AND(B8="", D8=""), "", N(LOOKUP(2, 1/($E$3:E7&lt;&gt;""), $E$3:E7)) + B8 - D8)</f>
        <v>96036</v>
      </c>
    </row>
    <row r="9" spans="1:6" x14ac:dyDescent="0.25">
      <c r="A9" s="3">
        <v>45950</v>
      </c>
      <c r="C9" t="str">
        <f>IF(B9="", "", SUM($B$4:B9))</f>
        <v/>
      </c>
      <c r="D9">
        <v>10000</v>
      </c>
      <c r="E9">
        <f>IF(AND(B9="", D9=""), "", N(LOOKUP(2, 1/($E$3:E8&lt;&gt;""), $E$3:E8)) + B9 - D9)</f>
        <v>86036</v>
      </c>
    </row>
    <row r="10" spans="1:6" x14ac:dyDescent="0.25">
      <c r="C10" t="str">
        <f>IF(B10="", "", SUM($B$4:B10))</f>
        <v/>
      </c>
      <c r="D10">
        <v>2000</v>
      </c>
      <c r="E10">
        <f>IF(AND(B10="", D10=""), "", N(LOOKUP(2, 1/($E$3:E9&lt;&gt;""), $E$3:E9)) + B10 - D10)</f>
        <v>84036</v>
      </c>
      <c r="F10" s="4" t="s">
        <v>32</v>
      </c>
    </row>
    <row r="11" spans="1:6" x14ac:dyDescent="0.25">
      <c r="A11" s="3">
        <v>45959</v>
      </c>
      <c r="C11" t="str">
        <f>IF(B11="", "", SUM($B$4:B11))</f>
        <v/>
      </c>
      <c r="D11">
        <v>10000</v>
      </c>
      <c r="E11">
        <f>IF(AND(B11="", D11=""), "", N(LOOKUP(2, 1/($E$3:E10&lt;&gt;""), $E$3:E10)) + B11 - D11)</f>
        <v>74036</v>
      </c>
    </row>
    <row r="12" spans="1:6" x14ac:dyDescent="0.25">
      <c r="A12" s="3">
        <v>45971</v>
      </c>
      <c r="C12" t="str">
        <f>IF(B12="", "", SUM($B$4:B12))</f>
        <v/>
      </c>
      <c r="D12">
        <v>10000</v>
      </c>
      <c r="E12">
        <f>IF(AND(B12="", D12=""), "", N(LOOKUP(2, 1/($E$3:E11&lt;&gt;""), $E$3:E11)) + B12 - D12)</f>
        <v>64036</v>
      </c>
    </row>
    <row r="13" spans="1:6" x14ac:dyDescent="0.25">
      <c r="A13" s="3">
        <v>45985</v>
      </c>
      <c r="C13" t="str">
        <f>IF(B13="", "", SUM($B$4:B13))</f>
        <v/>
      </c>
      <c r="D13">
        <v>10036</v>
      </c>
      <c r="E13">
        <f>IF(AND(B13="", D13=""), "", N(LOOKUP(2, 1/($E$3:E12&lt;&gt;""), $E$3:E12)) + B13 - D13)</f>
        <v>54000</v>
      </c>
    </row>
    <row r="14" spans="1:6" x14ac:dyDescent="0.25">
      <c r="A14" s="3">
        <v>45994</v>
      </c>
      <c r="B14">
        <v>54412</v>
      </c>
      <c r="C14">
        <f>IF(B14="", "", SUM($B$4:B14))</f>
        <v>175048</v>
      </c>
      <c r="E14">
        <f>IF(AND(B14="", D14=""), "", N(LOOKUP(2, 1/($E$3:E13&lt;&gt;""), $E$3:E13)) + B14 - D14)</f>
        <v>108412</v>
      </c>
    </row>
    <row r="15" spans="1:6" x14ac:dyDescent="0.25">
      <c r="A15" s="3">
        <v>45994</v>
      </c>
      <c r="C15" t="str">
        <f>IF(B15="", "", SUM($B$4:B15))</f>
        <v/>
      </c>
      <c r="D15">
        <v>20000</v>
      </c>
      <c r="E15">
        <f>IF(AND(B15="", D15=""), "", N(LOOKUP(2, 1/($E$3:E14&lt;&gt;""), $E$3:E14)) + B15 - D15)</f>
        <v>88412</v>
      </c>
    </row>
    <row r="16" spans="1:6" x14ac:dyDescent="0.25">
      <c r="A16" s="3">
        <v>46001</v>
      </c>
      <c r="C16" t="str">
        <f>IF(B16="", "", SUM($B$4:B16))</f>
        <v/>
      </c>
      <c r="D16">
        <v>20000</v>
      </c>
      <c r="E16">
        <f>IF(AND(B16="", D16=""), "", N(LOOKUP(2, 1/($E$3:E15&lt;&gt;""), $E$3:E15)) + B16 - D16)</f>
        <v>68412</v>
      </c>
    </row>
    <row r="17" spans="1:6" x14ac:dyDescent="0.25">
      <c r="A17" s="3">
        <v>46020</v>
      </c>
      <c r="B17">
        <v>63903</v>
      </c>
      <c r="C17">
        <f>IF(B17="", "", SUM($B$4:B17))</f>
        <v>238951</v>
      </c>
      <c r="E17">
        <f>IF(AND(B17="", D17=""), "", N(LOOKUP(2, 1/($E$3:E16&lt;&gt;""), $E$3:E16)) + B17 - D17)</f>
        <v>132315</v>
      </c>
    </row>
    <row r="18" spans="1:6" x14ac:dyDescent="0.25">
      <c r="A18" s="3">
        <v>46020</v>
      </c>
      <c r="B18">
        <v>8640</v>
      </c>
      <c r="C18">
        <f>IF(B18="", "", SUM($B$4:B18))</f>
        <v>247591</v>
      </c>
      <c r="E18">
        <f>IF(AND(B18="", D18=""), "", N(LOOKUP(2, 1/($E$3:E17&lt;&gt;""), $E$3:E17)) + B18 - D18)</f>
        <v>140955</v>
      </c>
    </row>
    <row r="19" spans="1:6" x14ac:dyDescent="0.25">
      <c r="A19" s="3">
        <v>46021</v>
      </c>
      <c r="C19" t="str">
        <f>IF(B19="", "", SUM($B$4:B19))</f>
        <v/>
      </c>
      <c r="D19">
        <v>20000</v>
      </c>
      <c r="E19">
        <f>IF(AND(B19="", D19=""), "", N(LOOKUP(2, 1/($E$3:E18&lt;&gt;""), $E$3:E18)) + B19 - D19)</f>
        <v>120955</v>
      </c>
    </row>
    <row r="20" spans="1:6" x14ac:dyDescent="0.25">
      <c r="A20" s="3">
        <v>46037</v>
      </c>
      <c r="C20" t="str">
        <f>IF(B20="", "", SUM($B$4:B20))</f>
        <v/>
      </c>
      <c r="D20">
        <v>20000</v>
      </c>
      <c r="E20">
        <f>IF(AND(B20="", D20=""), "", N(LOOKUP(2, 1/($E$3:E19&lt;&gt;""), $E$3:E19)) + B20 - D20)</f>
        <v>100955</v>
      </c>
    </row>
    <row r="21" spans="1:6" x14ac:dyDescent="0.25">
      <c r="C21" t="str">
        <f>IF(B21="", "", SUM($B$4:B21))</f>
        <v/>
      </c>
      <c r="D21">
        <v>7380</v>
      </c>
      <c r="E21">
        <f>IF(AND(B21="", D21=""), "", N(LOOKUP(2, 1/($E$3:E20&lt;&gt;""), $E$3:E20)) + B21 - D21)</f>
        <v>93575</v>
      </c>
      <c r="F21" s="4" t="s">
        <v>33</v>
      </c>
    </row>
    <row r="22" spans="1:6" x14ac:dyDescent="0.25">
      <c r="A22" s="3">
        <v>46048</v>
      </c>
      <c r="C22" t="str">
        <f>IF(B22="", "", SUM($B$4:B22))</f>
        <v/>
      </c>
      <c r="D22">
        <v>15075</v>
      </c>
      <c r="E22">
        <f>IF(AND(B22="", D22=""), "", N(LOOKUP(2, 1/($E$3:E21&lt;&gt;""), $E$3:E21)) + B22 - D22)</f>
        <v>78500</v>
      </c>
    </row>
    <row r="23" spans="1:6" x14ac:dyDescent="0.25">
      <c r="A23" s="3">
        <v>46111</v>
      </c>
      <c r="C23" t="str">
        <f>IF(B23="", "", SUM($B$4:B23))</f>
        <v/>
      </c>
      <c r="D23">
        <v>15000</v>
      </c>
      <c r="E23">
        <f>IF(AND(B23="", D23=""), "", N(LOOKUP(2, 1/($E$3:E22&lt;&gt;""), $E$3:E22)) + B23 - D23)</f>
        <v>63500</v>
      </c>
    </row>
    <row r="24" spans="1:6" x14ac:dyDescent="0.25">
      <c r="A24" s="3">
        <v>46118</v>
      </c>
      <c r="B24">
        <v>62445</v>
      </c>
      <c r="C24">
        <f>IF(B24="", "", SUM($B$4:B24))</f>
        <v>310036</v>
      </c>
      <c r="E24">
        <f>IF(AND(B24="", D24=""), "", N(LOOKUP(2, 1/($E$3:E23&lt;&gt;""), $E$3:E23)) + B24 - D24)</f>
        <v>125945</v>
      </c>
    </row>
    <row r="25" spans="1:6" x14ac:dyDescent="0.25">
      <c r="A25" s="3">
        <v>46118</v>
      </c>
      <c r="C25" t="str">
        <f>IF(B25="", "", SUM($B$4:B25))</f>
        <v/>
      </c>
      <c r="D25">
        <v>15000</v>
      </c>
      <c r="E25">
        <f>IF(AND(B25="", D25=""), "", N(LOOKUP(2, 1/($E$3:E24&lt;&gt;""), $E$3:E24)) + B25 - D25)</f>
        <v>110945</v>
      </c>
    </row>
    <row r="26" spans="1:6" x14ac:dyDescent="0.25">
      <c r="A26" s="3">
        <v>46127</v>
      </c>
      <c r="C26" t="str">
        <f>IF(B26="", "", SUM($B$4:B26))</f>
        <v/>
      </c>
      <c r="D26">
        <v>10000</v>
      </c>
      <c r="E26">
        <f>IF(AND(B26="", D26=""), "", N(LOOKUP(2, 1/($E$3:E25&lt;&gt;""), $E$3:E25)) + B26 - D26)</f>
        <v>100945</v>
      </c>
    </row>
    <row r="27" spans="1:6" x14ac:dyDescent="0.25">
      <c r="A27" s="3">
        <v>46166</v>
      </c>
      <c r="C27" t="str">
        <f>IF(B27="", "", SUM($B$4:B27))</f>
        <v/>
      </c>
      <c r="D27">
        <v>10000</v>
      </c>
      <c r="E27">
        <f>IF(AND(B27="", D27=""), "", N(LOOKUP(2, 1/($E$3:E26&lt;&gt;""), $E$3:E26)) + B27 - D27)</f>
        <v>90945</v>
      </c>
    </row>
    <row r="28" spans="1:6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1:6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1:6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1:6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1:6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ED01-9C20-45B2-B985-2E60B3434734}">
  <dimension ref="A1:F102"/>
  <sheetViews>
    <sheetView topLeftCell="A30" workbookViewId="0">
      <selection activeCell="A48" sqref="A48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36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45985</v>
      </c>
      <c r="B4">
        <v>20683</v>
      </c>
      <c r="C4">
        <f>IF(B4="", "", SUM($B$4:B4))</f>
        <v>20683</v>
      </c>
      <c r="E4">
        <f>IF(AND(B4="", D4=""), "", N(LOOKUP(2, 1/($E$3:E3&lt;&gt;""), $E$3:E3)) + B4 - D4)</f>
        <v>20683</v>
      </c>
    </row>
    <row r="5" spans="1:5" x14ac:dyDescent="0.25">
      <c r="A5" s="3">
        <v>45985</v>
      </c>
      <c r="C5" t="str">
        <f>IF(B5="", "", SUM($B$4:B5))</f>
        <v/>
      </c>
      <c r="D5">
        <v>4000</v>
      </c>
      <c r="E5">
        <f>IF(AND(B5="", D5=""), "", N(LOOKUP(2, 1/($E$3:E4&lt;&gt;""), $E$3:E4)) + B5 - D5)</f>
        <v>16683</v>
      </c>
    </row>
    <row r="6" spans="1:5" x14ac:dyDescent="0.25">
      <c r="A6" s="3">
        <v>45992</v>
      </c>
      <c r="B6">
        <v>930</v>
      </c>
      <c r="C6">
        <f>IF(B6="", "", SUM($B$4:B6))</f>
        <v>21613</v>
      </c>
      <c r="E6">
        <f>IF(AND(B6="", D6=""), "", N(LOOKUP(2, 1/($E$3:E5&lt;&gt;""), $E$3:E5)) + B6 - D6)</f>
        <v>17613</v>
      </c>
    </row>
    <row r="7" spans="1:5" x14ac:dyDescent="0.25">
      <c r="A7" s="3">
        <v>45992</v>
      </c>
      <c r="C7" t="str">
        <f>IF(B7="", "", SUM($B$4:B7))</f>
        <v/>
      </c>
      <c r="D7">
        <v>2000</v>
      </c>
      <c r="E7">
        <f>IF(AND(B7="", D7=""), "", N(LOOKUP(2, 1/($E$3:E6&lt;&gt;""), $E$3:E6)) + B7 - D7)</f>
        <v>15613</v>
      </c>
    </row>
    <row r="8" spans="1:5" x14ac:dyDescent="0.25">
      <c r="A8" s="3">
        <v>45999</v>
      </c>
      <c r="C8" t="str">
        <f>IF(B8="", "", SUM($B$4:B8))</f>
        <v/>
      </c>
      <c r="D8">
        <v>2000</v>
      </c>
      <c r="E8">
        <f>IF(AND(B8="", D8=""), "", N(LOOKUP(2, 1/($E$3:E7&lt;&gt;""), $E$3:E7)) + B8 - D8)</f>
        <v>13613</v>
      </c>
    </row>
    <row r="9" spans="1:5" x14ac:dyDescent="0.25">
      <c r="A9" s="3">
        <v>46006</v>
      </c>
      <c r="C9" t="str">
        <f>IF(B9="", "", SUM($B$4:B9))</f>
        <v/>
      </c>
      <c r="D9">
        <v>3613</v>
      </c>
      <c r="E9">
        <f>IF(AND(B9="", D9=""), "", N(LOOKUP(2, 1/($E$3:E8&lt;&gt;""), $E$3:E8)) + B9 - D9)</f>
        <v>10000</v>
      </c>
    </row>
    <row r="10" spans="1:5" x14ac:dyDescent="0.25">
      <c r="A10" s="3">
        <v>46013</v>
      </c>
      <c r="B10">
        <v>4860</v>
      </c>
      <c r="C10">
        <f>IF(B10="", "", SUM($B$4:B10))</f>
        <v>26473</v>
      </c>
      <c r="E10">
        <f>IF(AND(B10="", D10=""), "", N(LOOKUP(2, 1/($E$3:E9&lt;&gt;""), $E$3:E9)) + B10 - D10)</f>
        <v>14860</v>
      </c>
    </row>
    <row r="11" spans="1:5" x14ac:dyDescent="0.25">
      <c r="A11" s="3">
        <v>46013</v>
      </c>
      <c r="C11" t="str">
        <f>IF(B11="", "", SUM($B$4:B11))</f>
        <v/>
      </c>
      <c r="D11">
        <v>3000</v>
      </c>
      <c r="E11">
        <f>IF(AND(B11="", D11=""), "", N(LOOKUP(2, 1/($E$3:E10&lt;&gt;""), $E$3:E10)) + B11 - D11)</f>
        <v>11860</v>
      </c>
    </row>
    <row r="12" spans="1:5" x14ac:dyDescent="0.25">
      <c r="A12" s="3">
        <v>46018</v>
      </c>
      <c r="B12">
        <v>51530</v>
      </c>
      <c r="C12">
        <f>IF(B12="", "", SUM($B$4:B12))</f>
        <v>78003</v>
      </c>
      <c r="E12">
        <f>IF(AND(B12="", D12=""), "", N(LOOKUP(2, 1/($E$3:E11&lt;&gt;""), $E$3:E11)) + B12 - D12)</f>
        <v>63390</v>
      </c>
    </row>
    <row r="13" spans="1:5" x14ac:dyDescent="0.25">
      <c r="A13" s="3">
        <v>46022</v>
      </c>
      <c r="C13" t="str">
        <f>IF(B13="", "", SUM($B$4:B13))</f>
        <v/>
      </c>
      <c r="D13">
        <v>4000</v>
      </c>
      <c r="E13">
        <f>IF(AND(B13="", D13=""), "", N(LOOKUP(2, 1/($E$3:E12&lt;&gt;""), $E$3:E12)) + B13 - D13)</f>
        <v>59390</v>
      </c>
    </row>
    <row r="14" spans="1:5" x14ac:dyDescent="0.25">
      <c r="A14" s="3">
        <v>46027</v>
      </c>
      <c r="B14">
        <v>3690</v>
      </c>
      <c r="C14">
        <f>IF(B14="", "", SUM($B$4:B14))</f>
        <v>81693</v>
      </c>
      <c r="E14">
        <f>IF(AND(B14="", D14=""), "", N(LOOKUP(2, 1/($E$3:E13&lt;&gt;""), $E$3:E13)) + B14 - D14)</f>
        <v>63080</v>
      </c>
    </row>
    <row r="15" spans="1:5" x14ac:dyDescent="0.25">
      <c r="A15" s="3">
        <v>46028</v>
      </c>
      <c r="B15" s="19"/>
      <c r="C15" t="str">
        <f>IF(B15="", "", SUM($B$4:B15))</f>
        <v/>
      </c>
      <c r="D15">
        <v>10000</v>
      </c>
      <c r="E15">
        <f>IF(AND(B15="", D15=""), "", N(LOOKUP(2, 1/($E$3:E14&lt;&gt;""), $E$3:E14)) + B15 - D15)</f>
        <v>53080</v>
      </c>
    </row>
    <row r="16" spans="1:5" x14ac:dyDescent="0.25">
      <c r="A16" s="3">
        <v>46031</v>
      </c>
      <c r="C16" t="str">
        <f>IF(B16="", "", SUM($B$4:B16))</f>
        <v/>
      </c>
      <c r="D16">
        <v>10000</v>
      </c>
      <c r="E16">
        <f>IF(AND(B16="", D16=""), "", N(LOOKUP(2, 1/($E$3:E15&lt;&gt;""), $E$3:E15)) + B16 - D16)</f>
        <v>43080</v>
      </c>
    </row>
    <row r="17" spans="1:5" x14ac:dyDescent="0.25">
      <c r="A17" s="3">
        <v>46032</v>
      </c>
      <c r="C17" t="str">
        <f>IF(B17="", "", SUM($B$4:B17))</f>
        <v/>
      </c>
      <c r="D17">
        <v>5000</v>
      </c>
      <c r="E17">
        <f>IF(AND(B17="", D17=""), "", N(LOOKUP(2, 1/($E$3:E16&lt;&gt;""), $E$3:E16)) + B17 - D17)</f>
        <v>38080</v>
      </c>
    </row>
    <row r="18" spans="1:5" x14ac:dyDescent="0.25">
      <c r="A18" s="3">
        <v>46033</v>
      </c>
      <c r="B18">
        <v>37735</v>
      </c>
      <c r="C18">
        <f>IF(B18="", "", SUM($B$4:B18))</f>
        <v>119428</v>
      </c>
      <c r="E18">
        <f>IF(AND(B18="", D18=""), "", N(LOOKUP(2, 1/($E$3:E17&lt;&gt;""), $E$3:E17)) + B18 - D18)</f>
        <v>75815</v>
      </c>
    </row>
    <row r="19" spans="1:5" x14ac:dyDescent="0.25">
      <c r="A19" s="3">
        <v>46033</v>
      </c>
      <c r="C19" t="str">
        <f>IF(B19="", "", SUM($B$4:B19))</f>
        <v/>
      </c>
      <c r="D19">
        <v>815</v>
      </c>
      <c r="E19">
        <f>IF(AND(B19="", D19=""), "", N(LOOKUP(2, 1/($E$3:E18&lt;&gt;""), $E$3:E18)) + B19 - D19)</f>
        <v>75000</v>
      </c>
    </row>
    <row r="20" spans="1:5" x14ac:dyDescent="0.25">
      <c r="A20" s="3">
        <v>46036</v>
      </c>
      <c r="C20" t="str">
        <f>IF(B20="", "", SUM($B$4:B20))</f>
        <v/>
      </c>
      <c r="D20">
        <v>11000</v>
      </c>
      <c r="E20">
        <f>IF(AND(B20="", D20=""), "", N(LOOKUP(2, 1/($E$3:E19&lt;&gt;""), $E$3:E19)) + B20 - D20)</f>
        <v>64000</v>
      </c>
    </row>
    <row r="21" spans="1:5" x14ac:dyDescent="0.25">
      <c r="A21" s="3">
        <v>46037</v>
      </c>
      <c r="C21" t="str">
        <f>IF(B21="", "", SUM($B$4:B21))</f>
        <v/>
      </c>
      <c r="D21">
        <v>11000</v>
      </c>
      <c r="E21">
        <f>IF(AND(B21="", D21=""), "", N(LOOKUP(2, 1/($E$3:E20&lt;&gt;""), $E$3:E20)) + B21 - D21)</f>
        <v>53000</v>
      </c>
    </row>
    <row r="22" spans="1:5" x14ac:dyDescent="0.25">
      <c r="A22" s="3">
        <v>46042</v>
      </c>
      <c r="B22">
        <v>66866</v>
      </c>
      <c r="C22">
        <f>IF(B22="", "", SUM($B$4:B22))</f>
        <v>186294</v>
      </c>
      <c r="E22">
        <f>IF(AND(B22="", D22=""), "", N(LOOKUP(2, 1/($E$3:E21&lt;&gt;""), $E$3:E21)) + B22 - D22)</f>
        <v>119866</v>
      </c>
    </row>
    <row r="23" spans="1:5" x14ac:dyDescent="0.25">
      <c r="A23" s="3">
        <v>46044</v>
      </c>
      <c r="B23">
        <v>19710</v>
      </c>
      <c r="C23">
        <f>IF(B23="", "", SUM($B$4:B23))</f>
        <v>206004</v>
      </c>
      <c r="E23">
        <f>IF(AND(B23="", D23=""), "", N(LOOKUP(2, 1/($E$3:E22&lt;&gt;""), $E$3:E22)) + B23 - D23)</f>
        <v>139576</v>
      </c>
    </row>
    <row r="24" spans="1:5" x14ac:dyDescent="0.25">
      <c r="A24" s="3">
        <v>46045</v>
      </c>
      <c r="C24" t="str">
        <f>IF(B24="", "", SUM($B$4:B24))</f>
        <v/>
      </c>
      <c r="D24">
        <v>10000</v>
      </c>
      <c r="E24">
        <f>IF(AND(B24="", D24=""), "", N(LOOKUP(2, 1/($E$3:E23&lt;&gt;""), $E$3:E23)) + B24 - D24)</f>
        <v>129576</v>
      </c>
    </row>
    <row r="25" spans="1:5" x14ac:dyDescent="0.25">
      <c r="A25" s="3">
        <v>46050</v>
      </c>
      <c r="C25" t="str">
        <f>IF(B25="", "", SUM($B$4:B25))</f>
        <v/>
      </c>
      <c r="D25">
        <v>15000</v>
      </c>
      <c r="E25">
        <f>IF(AND(B25="", D25=""), "", N(LOOKUP(2, 1/($E$3:E24&lt;&gt;""), $E$3:E24)) + B25 - D25)</f>
        <v>114576</v>
      </c>
    </row>
    <row r="26" spans="1:5" x14ac:dyDescent="0.25">
      <c r="A26" s="3">
        <v>46055</v>
      </c>
      <c r="C26" t="str">
        <f>IF(B26="", "", SUM($B$4:B26))</f>
        <v/>
      </c>
      <c r="D26">
        <v>2000</v>
      </c>
      <c r="E26">
        <f>IF(AND(B26="", D26=""), "", N(LOOKUP(2, 1/($E$3:E25&lt;&gt;""), $E$3:E25)) + B26 - D26)</f>
        <v>112576</v>
      </c>
    </row>
    <row r="27" spans="1:5" x14ac:dyDescent="0.25">
      <c r="A27" s="3">
        <v>46060</v>
      </c>
      <c r="C27" t="str">
        <f>IF(B27="", "", SUM($B$4:B27))</f>
        <v/>
      </c>
      <c r="D27">
        <v>15000</v>
      </c>
      <c r="E27">
        <f>IF(AND(B27="", D27=""), "", N(LOOKUP(2, 1/($E$3:E26&lt;&gt;""), $E$3:E26)) + B27 - D27)</f>
        <v>97576</v>
      </c>
    </row>
    <row r="28" spans="1:5" x14ac:dyDescent="0.25">
      <c r="A28" s="3">
        <v>46063</v>
      </c>
      <c r="C28" t="str">
        <f>IF(B28="", "", SUM($B$4:B28))</f>
        <v/>
      </c>
      <c r="D28">
        <v>25000</v>
      </c>
      <c r="E28">
        <f>IF(AND(B28="", D28=""), "", N(LOOKUP(2, 1/($E$3:E27&lt;&gt;""), $E$3:E27)) + B28 - D28)</f>
        <v>72576</v>
      </c>
    </row>
    <row r="29" spans="1:5" x14ac:dyDescent="0.25">
      <c r="A29" s="3">
        <v>46068</v>
      </c>
      <c r="C29" t="str">
        <f>IF(B29="", "", SUM($B$4:B29))</f>
        <v/>
      </c>
      <c r="D29">
        <v>25576</v>
      </c>
      <c r="E29">
        <f>IF(AND(B29="", D29=""), "", N(LOOKUP(2, 1/($E$3:E28&lt;&gt;""), $E$3:E28)) + B29 - D29)</f>
        <v>47000</v>
      </c>
    </row>
    <row r="30" spans="1:5" x14ac:dyDescent="0.25">
      <c r="A30" s="3">
        <v>46072</v>
      </c>
      <c r="B30">
        <v>52512</v>
      </c>
      <c r="C30">
        <f>IF(B30="", "", SUM($B$4:B30))</f>
        <v>258516</v>
      </c>
      <c r="E30">
        <f>IF(AND(B30="", D30=""), "", N(LOOKUP(2, 1/($E$3:E29&lt;&gt;""), $E$3:E29)) + B30 - D30)</f>
        <v>99512</v>
      </c>
    </row>
    <row r="31" spans="1:5" x14ac:dyDescent="0.25">
      <c r="A31" s="3">
        <v>46072</v>
      </c>
      <c r="C31" t="str">
        <f>IF(B31="", "", SUM($B$4:B31))</f>
        <v/>
      </c>
      <c r="D31">
        <v>5000</v>
      </c>
      <c r="E31">
        <f>IF(AND(B31="", D31=""), "", N(LOOKUP(2, 1/($E$3:E30&lt;&gt;""), $E$3:E30)) + B31 - D31)</f>
        <v>94512</v>
      </c>
    </row>
    <row r="32" spans="1:5" x14ac:dyDescent="0.25">
      <c r="A32" s="3">
        <v>46086</v>
      </c>
      <c r="C32" t="str">
        <f>IF(B32="", "", SUM($B$4:B32))</f>
        <v/>
      </c>
      <c r="D32">
        <v>9500</v>
      </c>
      <c r="E32">
        <f>IF(AND(B32="", D32=""), "", N(LOOKUP(2, 1/($E$3:E31&lt;&gt;""), $E$3:E31)) + B32 - D32)</f>
        <v>85012</v>
      </c>
    </row>
    <row r="33" spans="1:5" x14ac:dyDescent="0.25">
      <c r="A33" s="3">
        <v>46107</v>
      </c>
      <c r="B33">
        <v>30442</v>
      </c>
      <c r="C33">
        <f>IF(B33="", "", SUM($B$4:B33))</f>
        <v>288958</v>
      </c>
      <c r="E33">
        <f>IF(AND(B33="", D33=""), "", N(LOOKUP(2, 1/($E$3:E32&lt;&gt;""), $E$3:E32)) + B33 - D33)</f>
        <v>115454</v>
      </c>
    </row>
    <row r="34" spans="1:5" x14ac:dyDescent="0.25">
      <c r="A34" s="3">
        <v>46107</v>
      </c>
      <c r="C34" t="str">
        <f>IF(B34="", "", SUM($B$4:B34))</f>
        <v/>
      </c>
      <c r="D34">
        <v>10000</v>
      </c>
      <c r="E34">
        <f>IF(AND(B34="", D34=""), "", N(LOOKUP(2, 1/($E$3:E33&lt;&gt;""), $E$3:E33)) + B34 - D34)</f>
        <v>105454</v>
      </c>
    </row>
    <row r="35" spans="1:5" x14ac:dyDescent="0.25">
      <c r="A35" s="3">
        <v>46111</v>
      </c>
      <c r="C35" t="str">
        <f>IF(B35="", "", SUM($B$4:B35))</f>
        <v/>
      </c>
      <c r="D35">
        <v>10000</v>
      </c>
      <c r="E35">
        <f>IF(AND(B35="", D35=""), "", N(LOOKUP(2, 1/($E$3:E34&lt;&gt;""), $E$3:E34)) + B35 - D35)</f>
        <v>95454</v>
      </c>
    </row>
    <row r="36" spans="1:5" x14ac:dyDescent="0.25">
      <c r="A36" s="3">
        <v>46121</v>
      </c>
      <c r="C36" t="str">
        <f>IF(B36="", "", SUM($B$4:B36))</f>
        <v/>
      </c>
      <c r="D36">
        <v>15000</v>
      </c>
      <c r="E36">
        <f>IF(AND(B36="", D36=""), "", N(LOOKUP(2, 1/($E$3:E35&lt;&gt;""), $E$3:E35)) + B36 - D36)</f>
        <v>80454</v>
      </c>
    </row>
    <row r="37" spans="1:5" x14ac:dyDescent="0.25">
      <c r="A37" s="3">
        <v>46127</v>
      </c>
      <c r="C37" t="str">
        <f>IF(B37="", "", SUM($B$4:B37))</f>
        <v/>
      </c>
      <c r="D37">
        <v>20000</v>
      </c>
      <c r="E37">
        <f>IF(AND(B37="", D37=""), "", N(LOOKUP(2, 1/($E$3:E36&lt;&gt;""), $E$3:E36)) + B37 - D37)</f>
        <v>60454</v>
      </c>
    </row>
    <row r="38" spans="1:5" x14ac:dyDescent="0.25">
      <c r="A38" s="3">
        <v>46132</v>
      </c>
      <c r="C38" t="str">
        <f>IF(B38="", "", SUM($B$4:B38))</f>
        <v/>
      </c>
      <c r="D38">
        <v>5000</v>
      </c>
      <c r="E38">
        <f>IF(AND(B38="", D38=""), "", N(LOOKUP(2, 1/($E$3:E37&lt;&gt;""), $E$3:E37)) + B38 - D38)</f>
        <v>55454</v>
      </c>
    </row>
    <row r="39" spans="1:5" x14ac:dyDescent="0.25">
      <c r="A39" s="3">
        <v>46148</v>
      </c>
      <c r="C39" t="str">
        <f>IF(B39="", "", SUM($B$4:B39))</f>
        <v/>
      </c>
      <c r="D39">
        <v>12000</v>
      </c>
      <c r="E39">
        <f>IF(AND(B39="", D39=""), "", N(LOOKUP(2, 1/($E$3:E38&lt;&gt;""), $E$3:E38)) + B39 - D39)</f>
        <v>43454</v>
      </c>
    </row>
    <row r="40" spans="1:5" x14ac:dyDescent="0.25">
      <c r="A40" s="3">
        <v>46156</v>
      </c>
      <c r="C40" t="str">
        <f>IF(B40="", "", SUM($B$4:B40))</f>
        <v/>
      </c>
      <c r="D40">
        <v>10000</v>
      </c>
      <c r="E40">
        <f>IF(AND(B40="", D40=""), "", N(LOOKUP(2, 1/($E$3:E39&lt;&gt;""), $E$3:E39)) + B40 - D40)</f>
        <v>33454</v>
      </c>
    </row>
    <row r="41" spans="1:5" x14ac:dyDescent="0.25">
      <c r="A41" s="3">
        <v>46163</v>
      </c>
      <c r="B41">
        <v>52184</v>
      </c>
      <c r="C41">
        <f>IF(B41="", "", SUM($B$4:B41))</f>
        <v>341142</v>
      </c>
      <c r="E41">
        <f>IF(AND(B41="", D41=""), "", N(LOOKUP(2, 1/($E$3:E40&lt;&gt;""), $E$3:E40)) + B41 - D41)</f>
        <v>85638</v>
      </c>
    </row>
    <row r="42" spans="1:5" x14ac:dyDescent="0.25">
      <c r="A42" s="3">
        <v>46163</v>
      </c>
      <c r="C42" t="str">
        <f>IF(B42="", "", SUM($B$4:B42))</f>
        <v/>
      </c>
      <c r="D42">
        <v>12000</v>
      </c>
      <c r="E42">
        <f>IF(AND(B42="", D42=""), "", N(LOOKUP(2, 1/($E$3:E41&lt;&gt;""), $E$3:E41)) + B42 - D42)</f>
        <v>73638</v>
      </c>
    </row>
    <row r="43" spans="1:5" x14ac:dyDescent="0.25">
      <c r="A43" s="3">
        <v>46165</v>
      </c>
      <c r="B43">
        <v>4900</v>
      </c>
      <c r="C43">
        <f>IF(B43="", "", SUM($B$4:B43))</f>
        <v>346042</v>
      </c>
      <c r="E43">
        <f>IF(AND(B43="", D43=""), "", N(LOOKUP(2, 1/($E$3:E42&lt;&gt;""), $E$3:E42)) + B43 - D43)</f>
        <v>78538</v>
      </c>
    </row>
    <row r="44" spans="1:5" x14ac:dyDescent="0.25">
      <c r="A44" s="3">
        <v>46167</v>
      </c>
      <c r="C44" t="str">
        <f>IF(B44="", "", SUM($B$4:B44))</f>
        <v/>
      </c>
      <c r="D44">
        <v>5000</v>
      </c>
      <c r="E44">
        <f>IF(AND(B44="", D44=""), "", N(LOOKUP(2, 1/($E$3:E43&lt;&gt;""), $E$3:E43)) + B44 - D44)</f>
        <v>73538</v>
      </c>
    </row>
    <row r="45" spans="1:5" x14ac:dyDescent="0.25">
      <c r="A45" s="3">
        <v>46182</v>
      </c>
      <c r="C45" t="str">
        <f>IF(B45="", "", SUM($B$4:B45))</f>
        <v/>
      </c>
      <c r="D45">
        <v>13000</v>
      </c>
      <c r="E45">
        <f>IF(AND(B45="", D45=""), "", N(LOOKUP(2, 1/($E$3:E44&lt;&gt;""), $E$3:E44)) + B45 - D45)</f>
        <v>60538</v>
      </c>
    </row>
    <row r="46" spans="1:5" x14ac:dyDescent="0.25">
      <c r="A46" s="3">
        <v>46188</v>
      </c>
      <c r="C46" t="str">
        <f>IF(B46="", "", SUM($B$4:B46))</f>
        <v/>
      </c>
      <c r="D46">
        <v>8000</v>
      </c>
      <c r="E46">
        <f>IF(AND(B46="", D46=""), "", N(LOOKUP(2, 1/($E$3:E45&lt;&gt;""), $E$3:E45)) + B46 - D46)</f>
        <v>52538</v>
      </c>
    </row>
    <row r="47" spans="1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1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8E34-4F4E-4B0A-98A6-8A46A5DC4C94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6" ht="15" customHeight="1" x14ac:dyDescent="0.25">
      <c r="A1" s="25" t="str">
        <f>HYPERLINK("#'Home'!A1", "Home")</f>
        <v>Home</v>
      </c>
      <c r="B1" s="24" t="s">
        <v>38</v>
      </c>
      <c r="C1" s="24"/>
      <c r="D1" s="24"/>
      <c r="E1" s="24"/>
    </row>
    <row r="2" spans="1:6" ht="15" customHeight="1" x14ac:dyDescent="0.25">
      <c r="A2" s="26"/>
      <c r="B2" s="24"/>
      <c r="C2" s="24"/>
      <c r="D2" s="24"/>
      <c r="E2" s="24"/>
    </row>
    <row r="3" spans="1:6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6" x14ac:dyDescent="0.25">
      <c r="A4" s="3">
        <v>45911</v>
      </c>
      <c r="B4">
        <v>3296</v>
      </c>
      <c r="C4">
        <f>IF(B4="", "", SUM($B$4:B4))</f>
        <v>3296</v>
      </c>
      <c r="E4">
        <f>IF(AND(B4="", D4=""), "", N(LOOKUP(2, 1/($E$3:E3&lt;&gt;""), $E$3:E3)) + B4 - D4)</f>
        <v>3296</v>
      </c>
    </row>
    <row r="5" spans="1:6" x14ac:dyDescent="0.25">
      <c r="A5" s="3">
        <v>45919</v>
      </c>
      <c r="B5">
        <v>38211</v>
      </c>
      <c r="C5">
        <f>IF(B5="", "", SUM($B$4:B5))</f>
        <v>41507</v>
      </c>
      <c r="E5">
        <f>IF(AND(B5="", D5=""), "", N(LOOKUP(2, 1/($E$3:E4&lt;&gt;""), $E$3:E4)) + B5 - D5)</f>
        <v>41507</v>
      </c>
    </row>
    <row r="6" spans="1:6" x14ac:dyDescent="0.25">
      <c r="A6" s="3">
        <v>45919</v>
      </c>
      <c r="C6" t="str">
        <f>IF(B6="", "", SUM($B$4:B6))</f>
        <v/>
      </c>
      <c r="D6">
        <v>500</v>
      </c>
      <c r="E6">
        <f>IF(AND(B6="", D6=""), "", N(LOOKUP(2, 1/($E$3:E5&lt;&gt;""), $E$3:E5)) + B6 - D6)</f>
        <v>41007</v>
      </c>
    </row>
    <row r="7" spans="1:6" x14ac:dyDescent="0.25">
      <c r="A7" s="3">
        <v>45929</v>
      </c>
      <c r="B7">
        <v>9600</v>
      </c>
      <c r="C7">
        <f>IF(B7="", "", SUM($B$4:B7))</f>
        <v>51107</v>
      </c>
      <c r="E7">
        <f>IF(AND(B7="", D7=""), "", N(LOOKUP(2, 1/($E$3:E6&lt;&gt;""), $E$3:E6)) + B7 - D7)</f>
        <v>50607</v>
      </c>
    </row>
    <row r="8" spans="1:6" x14ac:dyDescent="0.25">
      <c r="A8" s="3">
        <v>45929</v>
      </c>
      <c r="C8" t="str">
        <f>IF(B8="", "", SUM($B$4:B8))</f>
        <v/>
      </c>
      <c r="D8">
        <v>1000</v>
      </c>
      <c r="E8">
        <f>IF(AND(B8="", D8=""), "", N(LOOKUP(2, 1/($E$3:E7&lt;&gt;""), $E$3:E7)) + B8 - D8)</f>
        <v>49607</v>
      </c>
    </row>
    <row r="9" spans="1:6" x14ac:dyDescent="0.25">
      <c r="A9" s="3">
        <v>45930</v>
      </c>
      <c r="C9" t="str">
        <f>IF(B9="", "", SUM($B$4:B9))</f>
        <v/>
      </c>
      <c r="D9">
        <v>8000</v>
      </c>
      <c r="E9">
        <f>IF(AND(B9="", D9=""), "", N(LOOKUP(2, 1/($E$3:E8&lt;&gt;""), $E$3:E8)) + B9 - D9)</f>
        <v>41607</v>
      </c>
    </row>
    <row r="10" spans="1:6" x14ac:dyDescent="0.25">
      <c r="A10" s="3">
        <v>45935</v>
      </c>
      <c r="C10" t="str">
        <f>IF(B10="", "", SUM($B$4:B10))</f>
        <v/>
      </c>
      <c r="D10">
        <v>2000</v>
      </c>
      <c r="E10">
        <f>IF(AND(B10="", D10=""), "", N(LOOKUP(2, 1/($E$3:E9&lt;&gt;""), $E$3:E9)) + B10 - D10)</f>
        <v>39607</v>
      </c>
    </row>
    <row r="11" spans="1:6" x14ac:dyDescent="0.25">
      <c r="A11" s="3">
        <v>45944</v>
      </c>
      <c r="C11" t="str">
        <f>IF(B11="", "", SUM($B$4:B11))</f>
        <v/>
      </c>
      <c r="D11">
        <v>4000</v>
      </c>
      <c r="E11">
        <f>IF(AND(B11="", D11=""), "", N(LOOKUP(2, 1/($E$3:E10&lt;&gt;""), $E$3:E10)) + B11 - D11)</f>
        <v>35607</v>
      </c>
    </row>
    <row r="12" spans="1:6" x14ac:dyDescent="0.25">
      <c r="A12" s="3">
        <v>45956</v>
      </c>
      <c r="C12" t="str">
        <f>IF(B12="", "", SUM($B$4:B12))</f>
        <v/>
      </c>
      <c r="D12">
        <v>2500</v>
      </c>
      <c r="E12">
        <f>IF(AND(B12="", D12=""), "", N(LOOKUP(2, 1/($E$3:E11&lt;&gt;""), $E$3:E11)) + B12 - D12)</f>
        <v>33107</v>
      </c>
      <c r="F12" s="4" t="s">
        <v>39</v>
      </c>
    </row>
    <row r="13" spans="1:6" x14ac:dyDescent="0.25">
      <c r="A13" s="3">
        <v>45970</v>
      </c>
      <c r="C13" t="str">
        <f>IF(B13="", "", SUM($B$4:B13))</f>
        <v/>
      </c>
      <c r="D13">
        <v>4000</v>
      </c>
      <c r="E13">
        <f>IF(AND(B13="", D13=""), "", N(LOOKUP(2, 1/($E$3:E12&lt;&gt;""), $E$3:E12)) + B13 - D13)</f>
        <v>29107</v>
      </c>
    </row>
    <row r="14" spans="1:6" x14ac:dyDescent="0.25">
      <c r="A14" s="3">
        <v>45977</v>
      </c>
      <c r="C14" t="str">
        <f>IF(B14="", "", SUM($B$4:B14))</f>
        <v/>
      </c>
      <c r="D14">
        <v>3107</v>
      </c>
      <c r="E14">
        <f>IF(AND(B14="", D14=""), "", N(LOOKUP(2, 1/($E$3:E13&lt;&gt;""), $E$3:E13)) + B14 - D14)</f>
        <v>26000</v>
      </c>
    </row>
    <row r="15" spans="1:6" x14ac:dyDescent="0.25">
      <c r="A15" s="3">
        <v>45984</v>
      </c>
      <c r="C15" t="str">
        <f>IF(B15="", "", SUM($B$4:B15))</f>
        <v/>
      </c>
      <c r="D15">
        <v>2000</v>
      </c>
      <c r="E15">
        <f>IF(AND(B15="", D15=""), "", N(LOOKUP(2, 1/($E$3:E14&lt;&gt;""), $E$3:E14)) + B15 - D15)</f>
        <v>24000</v>
      </c>
    </row>
    <row r="16" spans="1:6" x14ac:dyDescent="0.25">
      <c r="A16" s="3">
        <v>45991</v>
      </c>
      <c r="C16" t="str">
        <f>IF(B16="", "", SUM($B$4:B16))</f>
        <v/>
      </c>
      <c r="D16">
        <v>1000</v>
      </c>
      <c r="E16">
        <f>IF(AND(B16="", D16=""), "", N(LOOKUP(2, 1/($E$3:E15&lt;&gt;""), $E$3:E15)) + B16 - D16)</f>
        <v>23000</v>
      </c>
    </row>
    <row r="17" spans="1:6" x14ac:dyDescent="0.25">
      <c r="A17" s="3">
        <v>46006</v>
      </c>
      <c r="C17" t="str">
        <f>IF(B17="", "", SUM($B$4:B17))</f>
        <v/>
      </c>
      <c r="D17">
        <v>2000</v>
      </c>
      <c r="E17">
        <f>IF(AND(B17="", D17=""), "", N(LOOKUP(2, 1/($E$3:E16&lt;&gt;""), $E$3:E16)) + B17 - D17)</f>
        <v>21000</v>
      </c>
    </row>
    <row r="18" spans="1:6" x14ac:dyDescent="0.25">
      <c r="A18" s="3">
        <v>46019</v>
      </c>
      <c r="C18" t="str">
        <f>IF(B18="", "", SUM($B$4:B18))</f>
        <v/>
      </c>
      <c r="D18">
        <v>1000</v>
      </c>
      <c r="E18">
        <f>IF(AND(B18="", D18=""), "", N(LOOKUP(2, 1/($E$3:E17&lt;&gt;""), $E$3:E17)) + B18 - D18)</f>
        <v>20000</v>
      </c>
    </row>
    <row r="19" spans="1:6" x14ac:dyDescent="0.25">
      <c r="A19" s="3">
        <v>46037</v>
      </c>
      <c r="C19" t="str">
        <f>IF(B19="", "", SUM($B$4:B19))</f>
        <v/>
      </c>
      <c r="D19">
        <v>2000</v>
      </c>
      <c r="E19">
        <f>IF(AND(B19="", D19=""), "", N(LOOKUP(2, 1/($E$3:E18&lt;&gt;""), $E$3:E18)) + B19 - D19)</f>
        <v>18000</v>
      </c>
    </row>
    <row r="20" spans="1:6" x14ac:dyDescent="0.25">
      <c r="A20" s="3">
        <v>46047</v>
      </c>
      <c r="C20" t="str">
        <f>IF(B20="", "", SUM($B$4:B20))</f>
        <v/>
      </c>
      <c r="D20">
        <v>2000</v>
      </c>
      <c r="E20">
        <f>IF(AND(B20="", D20=""), "", N(LOOKUP(2, 1/($E$3:E19&lt;&gt;""), $E$3:E19)) + B20 - D20)</f>
        <v>16000</v>
      </c>
    </row>
    <row r="21" spans="1:6" x14ac:dyDescent="0.25">
      <c r="A21" s="3">
        <v>46068</v>
      </c>
      <c r="C21" t="str">
        <f>IF(B21="", "", SUM($B$4:B21))</f>
        <v/>
      </c>
      <c r="D21">
        <v>5000</v>
      </c>
      <c r="E21">
        <f>IF(AND(B21="", D21=""), "", N(LOOKUP(2, 1/($E$3:E20&lt;&gt;""), $E$3:E20)) + B21 - D21)</f>
        <v>11000</v>
      </c>
    </row>
    <row r="22" spans="1:6" x14ac:dyDescent="0.25">
      <c r="A22" s="3">
        <v>46079</v>
      </c>
      <c r="C22" t="str">
        <f>IF(B22="", "", SUM($B$4:B22))</f>
        <v/>
      </c>
      <c r="D22">
        <v>1000</v>
      </c>
      <c r="E22">
        <f>IF(AND(B22="", D22=""), "", N(LOOKUP(2, 1/($E$3:E21&lt;&gt;""), $E$3:E21)) + B22 - D22)</f>
        <v>10000</v>
      </c>
    </row>
    <row r="23" spans="1:6" x14ac:dyDescent="0.25">
      <c r="A23" s="3">
        <v>46110</v>
      </c>
      <c r="C23" t="str">
        <f>IF(B23="", "", SUM($B$4:B23))</f>
        <v/>
      </c>
      <c r="D23">
        <v>1000</v>
      </c>
      <c r="E23">
        <f>IF(AND(B23="", D23=""), "", N(LOOKUP(2, 1/($E$3:E22&lt;&gt;""), $E$3:E22)) + B23 - D23)</f>
        <v>9000</v>
      </c>
    </row>
    <row r="24" spans="1:6" x14ac:dyDescent="0.25">
      <c r="A24" s="3">
        <v>46128</v>
      </c>
      <c r="C24" t="str">
        <f>IF(B24="", "", SUM($B$4:B24))</f>
        <v/>
      </c>
      <c r="D24">
        <v>1000</v>
      </c>
      <c r="E24">
        <f>IF(AND(B24="", D24=""), "", N(LOOKUP(2, 1/($E$3:E23&lt;&gt;""), $E$3:E23)) + B24 - D24)</f>
        <v>8000</v>
      </c>
    </row>
    <row r="25" spans="1:6" x14ac:dyDescent="0.25">
      <c r="A25" s="3">
        <v>46138</v>
      </c>
      <c r="C25" t="str">
        <f>IF(B25="", "", SUM($B$4:B25))</f>
        <v/>
      </c>
      <c r="D25">
        <v>500</v>
      </c>
      <c r="E25">
        <f>IF(AND(B25="", D25=""), "", N(LOOKUP(2, 1/($E$3:E24&lt;&gt;""), $E$3:E24)) + B25 - D25)</f>
        <v>7500</v>
      </c>
    </row>
    <row r="26" spans="1:6" x14ac:dyDescent="0.25">
      <c r="A26" s="3">
        <v>46188</v>
      </c>
      <c r="C26" t="str">
        <f>IF(B26="", "", SUM($B$4:B26))</f>
        <v/>
      </c>
      <c r="D26">
        <v>2000</v>
      </c>
      <c r="E26">
        <f>IF(AND(B26="", D26=""), "", N(LOOKUP(2, 1/($E$3:E25&lt;&gt;""), $E$3:E25)) + B26 - D26)</f>
        <v>5500</v>
      </c>
      <c r="F26" s="4" t="s">
        <v>56</v>
      </c>
    </row>
    <row r="27" spans="1:6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1:6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1:6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1:6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1:6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1:6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2902-7FA8-4F28-ACDA-0A3152601108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41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45874</v>
      </c>
      <c r="B4">
        <v>10000</v>
      </c>
      <c r="C4">
        <f>IF(B4="", "", SUM($B$4:B4))</f>
        <v>10000</v>
      </c>
      <c r="E4">
        <f>IF(AND(B4="", D4=""), "", N(LOOKUP(2, 1/($E$3:E3&lt;&gt;""), $E$3:E3)) + B4 - D4)</f>
        <v>10000</v>
      </c>
    </row>
    <row r="5" spans="1:5" x14ac:dyDescent="0.25">
      <c r="A5" s="3">
        <v>45935</v>
      </c>
      <c r="C5" t="str">
        <f>IF(B5="", "", SUM($B$4:B5))</f>
        <v/>
      </c>
      <c r="D5">
        <v>1000</v>
      </c>
      <c r="E5">
        <f>IF(AND(B5="", D5=""), "", N(LOOKUP(2, 1/($E$3:E4&lt;&gt;""), $E$3:E4)) + B5 - D5)</f>
        <v>9000</v>
      </c>
    </row>
    <row r="6" spans="1:5" x14ac:dyDescent="0.25">
      <c r="A6" s="3">
        <v>45956</v>
      </c>
      <c r="C6" t="str">
        <f>IF(B6="", "", SUM($B$4:B6))</f>
        <v/>
      </c>
      <c r="D6">
        <v>1000</v>
      </c>
      <c r="E6">
        <f>IF(AND(B6="", D6=""), "", N(LOOKUP(2, 1/($E$3:E5&lt;&gt;""), $E$3:E5)) + B6 - D6)</f>
        <v>8000</v>
      </c>
    </row>
    <row r="7" spans="1:5" x14ac:dyDescent="0.25">
      <c r="A7" s="3">
        <v>45977</v>
      </c>
      <c r="B7">
        <v>1640</v>
      </c>
      <c r="C7">
        <f>IF(B7="", "", SUM($B$4:B7))</f>
        <v>11640</v>
      </c>
      <c r="E7">
        <f>IF(AND(B7="", D7=""), "", N(LOOKUP(2, 1/($E$3:E6&lt;&gt;""), $E$3:E6)) + B7 - D7)</f>
        <v>9640</v>
      </c>
    </row>
    <row r="8" spans="1:5" x14ac:dyDescent="0.25">
      <c r="A8" s="3">
        <v>45991</v>
      </c>
      <c r="C8" t="str">
        <f>IF(B8="", "", SUM($B$4:B8))</f>
        <v/>
      </c>
      <c r="D8">
        <v>1000</v>
      </c>
      <c r="E8">
        <f>IF(AND(B8="", D8=""), "", N(LOOKUP(2, 1/($E$3:E7&lt;&gt;""), $E$3:E7)) + B8 - D8)</f>
        <v>8640</v>
      </c>
    </row>
    <row r="9" spans="1:5" x14ac:dyDescent="0.25">
      <c r="A9" s="3">
        <v>46005</v>
      </c>
      <c r="C9" t="str">
        <f>IF(B9="", "", SUM($B$4:B9))</f>
        <v/>
      </c>
      <c r="D9">
        <v>1000</v>
      </c>
      <c r="E9">
        <f>IF(AND(B9="", D9=""), "", N(LOOKUP(2, 1/($E$3:E8&lt;&gt;""), $E$3:E8)) + B9 - D9)</f>
        <v>7640</v>
      </c>
    </row>
    <row r="10" spans="1:5" x14ac:dyDescent="0.25">
      <c r="A10" s="3">
        <v>46012</v>
      </c>
      <c r="B10">
        <v>4800</v>
      </c>
      <c r="C10">
        <f>IF(B10="", "", SUM($B$4:B10))</f>
        <v>16440</v>
      </c>
      <c r="E10">
        <f>IF(AND(B10="", D10=""), "", N(LOOKUP(2, 1/($E$3:E9&lt;&gt;""), $E$3:E9)) + B10 - D10)</f>
        <v>12440</v>
      </c>
    </row>
    <row r="11" spans="1:5" x14ac:dyDescent="0.25">
      <c r="A11" s="3">
        <v>46012</v>
      </c>
      <c r="C11" t="str">
        <f>IF(B11="", "", SUM($B$4:B11))</f>
        <v/>
      </c>
      <c r="D11">
        <v>1000</v>
      </c>
      <c r="E11">
        <f>IF(AND(B11="", D11=""), "", N(LOOKUP(2, 1/($E$3:E10&lt;&gt;""), $E$3:E10)) + B11 - D11)</f>
        <v>11440</v>
      </c>
    </row>
    <row r="12" spans="1:5" x14ac:dyDescent="0.25">
      <c r="A12" s="3">
        <v>46019</v>
      </c>
      <c r="B12">
        <v>1255</v>
      </c>
      <c r="C12">
        <f>IF(B12="", "", SUM($B$4:B12))</f>
        <v>17695</v>
      </c>
      <c r="E12">
        <f>IF(AND(B12="", D12=""), "", N(LOOKUP(2, 1/($E$3:E11&lt;&gt;""), $E$3:E11)) + B12 - D12)</f>
        <v>12695</v>
      </c>
    </row>
    <row r="13" spans="1:5" x14ac:dyDescent="0.25">
      <c r="A13" s="3">
        <v>46027</v>
      </c>
      <c r="C13" t="str">
        <f>IF(B13="", "", SUM($B$4:B13))</f>
        <v/>
      </c>
      <c r="D13">
        <v>1000</v>
      </c>
      <c r="E13">
        <f>IF(AND(B13="", D13=""), "", N(LOOKUP(2, 1/($E$3:E12&lt;&gt;""), $E$3:E12)) + B13 - D13)</f>
        <v>11695</v>
      </c>
    </row>
    <row r="14" spans="1:5" x14ac:dyDescent="0.25">
      <c r="A14" s="3">
        <v>46029</v>
      </c>
      <c r="B14">
        <v>1336</v>
      </c>
      <c r="C14">
        <f>IF(B14="", "", SUM($B$4:B14))</f>
        <v>19031</v>
      </c>
      <c r="E14">
        <f>IF(AND(B14="", D14=""), "", N(LOOKUP(2, 1/($E$3:E13&lt;&gt;""), $E$3:E13)) + B14 - D14)</f>
        <v>13031</v>
      </c>
    </row>
    <row r="15" spans="1:5" x14ac:dyDescent="0.25">
      <c r="A15" s="3">
        <v>46029</v>
      </c>
      <c r="C15" t="str">
        <f>IF(B15="", "", SUM($B$4:B15))</f>
        <v/>
      </c>
      <c r="D15">
        <v>1336</v>
      </c>
      <c r="E15">
        <f>IF(AND(B15="", D15=""), "", N(LOOKUP(2, 1/($E$3:E14&lt;&gt;""), $E$3:E14)) + B15 - D15)</f>
        <v>11695</v>
      </c>
    </row>
    <row r="16" spans="1:5" x14ac:dyDescent="0.25">
      <c r="A16" s="3">
        <v>46037</v>
      </c>
      <c r="C16" t="str">
        <f>IF(B16="", "", SUM($B$4:B16))</f>
        <v/>
      </c>
      <c r="D16">
        <v>1000</v>
      </c>
      <c r="E16">
        <f>IF(AND(B16="", D16=""), "", N(LOOKUP(2, 1/($E$3:E15&lt;&gt;""), $E$3:E15)) + B16 - D16)</f>
        <v>10695</v>
      </c>
    </row>
    <row r="17" spans="1:6" x14ac:dyDescent="0.25">
      <c r="A17" s="3">
        <v>46037</v>
      </c>
      <c r="C17" t="str">
        <f>IF(B17="", "", SUM($B$4:B17))</f>
        <v/>
      </c>
      <c r="D17">
        <v>100</v>
      </c>
      <c r="E17">
        <f>IF(AND(B17="", D17=""), "", N(LOOKUP(2, 1/($E$3:E16&lt;&gt;""), $E$3:E16)) + B17 - D17)</f>
        <v>10595</v>
      </c>
      <c r="F17" s="4" t="s">
        <v>42</v>
      </c>
    </row>
    <row r="18" spans="1:6" x14ac:dyDescent="0.25">
      <c r="A18" s="3">
        <v>46050</v>
      </c>
      <c r="B18">
        <v>1640</v>
      </c>
      <c r="C18">
        <f>IF(B18="", "", SUM($B$4:B18))</f>
        <v>20671</v>
      </c>
      <c r="E18">
        <f>IF(AND(B18="", D18=""), "", N(LOOKUP(2, 1/($E$3:E17&lt;&gt;""), $E$3:E17)) + B18 - D18)</f>
        <v>12235</v>
      </c>
    </row>
    <row r="19" spans="1:6" x14ac:dyDescent="0.25">
      <c r="A19" s="3">
        <v>46050</v>
      </c>
      <c r="C19" t="str">
        <f>IF(B19="", "", SUM($B$4:B19))</f>
        <v/>
      </c>
      <c r="D19">
        <v>1640</v>
      </c>
      <c r="E19">
        <f>IF(AND(B19="", D19=""), "", N(LOOKUP(2, 1/($E$3:E18&lt;&gt;""), $E$3:E18)) + B19 - D19)</f>
        <v>10595</v>
      </c>
    </row>
    <row r="20" spans="1:6" x14ac:dyDescent="0.25">
      <c r="A20" s="3">
        <v>46075</v>
      </c>
      <c r="C20" t="str">
        <f>IF(B20="", "", SUM($B$4:B20))</f>
        <v/>
      </c>
      <c r="D20">
        <v>1000</v>
      </c>
      <c r="E20">
        <f>IF(AND(B20="", D20=""), "", N(LOOKUP(2, 1/($E$3:E19&lt;&gt;""), $E$3:E19)) + B20 - D20)</f>
        <v>9595</v>
      </c>
    </row>
    <row r="21" spans="1:6" x14ac:dyDescent="0.25">
      <c r="A21" s="3">
        <v>46110</v>
      </c>
      <c r="C21" t="str">
        <f>IF(B21="", "", SUM($B$4:B21))</f>
        <v/>
      </c>
      <c r="D21">
        <v>1200</v>
      </c>
      <c r="E21">
        <f>IF(AND(B21="", D21=""), "", N(LOOKUP(2, 1/($E$3:E20&lt;&gt;""), $E$3:E20)) + B21 - D21)</f>
        <v>8395</v>
      </c>
    </row>
    <row r="22" spans="1:6" x14ac:dyDescent="0.25">
      <c r="A22" s="3">
        <v>46131</v>
      </c>
      <c r="C22" t="str">
        <f>IF(B22="", "", SUM($B$4:B22))</f>
        <v/>
      </c>
      <c r="D22">
        <v>1000</v>
      </c>
      <c r="E22">
        <f>IF(AND(B22="", D22=""), "", N(LOOKUP(2, 1/($E$3:E21&lt;&gt;""), $E$3:E21)) + B22 - D22)</f>
        <v>7395</v>
      </c>
    </row>
    <row r="23" spans="1:6" x14ac:dyDescent="0.25">
      <c r="A23" s="3">
        <v>46138</v>
      </c>
      <c r="C23" t="str">
        <f>IF(B23="", "", SUM($B$4:B23))</f>
        <v/>
      </c>
      <c r="D23">
        <v>1000</v>
      </c>
      <c r="E23">
        <f>IF(AND(B23="", D23=""), "", N(LOOKUP(2, 1/($E$3:E22&lt;&gt;""), $E$3:E22)) + B23 - D23)</f>
        <v>6395</v>
      </c>
    </row>
    <row r="24" spans="1:6" x14ac:dyDescent="0.25">
      <c r="A24" s="3">
        <v>46145</v>
      </c>
      <c r="C24" t="str">
        <f>IF(B24="", "", SUM($B$4:B24))</f>
        <v/>
      </c>
      <c r="D24">
        <v>1000</v>
      </c>
      <c r="E24">
        <f>IF(AND(B24="", D24=""), "", N(LOOKUP(2, 1/($E$3:E23&lt;&gt;""), $E$3:E23)) + B24 - D24)</f>
        <v>5395</v>
      </c>
    </row>
    <row r="25" spans="1:6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1:6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1:6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1:6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1:6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1:6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1:6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1:6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2172-7503-461E-846D-8C138A6E9FDB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43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45910</v>
      </c>
      <c r="B4">
        <v>3868</v>
      </c>
      <c r="C4">
        <f>IF(B4="", "", SUM($B$4:B4))</f>
        <v>3868</v>
      </c>
      <c r="E4">
        <f>IF(AND(B4="", D4=""), "", N(LOOKUP(2, 1/($E$3:E3&lt;&gt;""), $E$3:E3)) + B4 - D4)</f>
        <v>3868</v>
      </c>
    </row>
    <row r="5" spans="1:5" x14ac:dyDescent="0.25">
      <c r="A5" s="3">
        <v>45929</v>
      </c>
      <c r="B5">
        <v>1640</v>
      </c>
      <c r="C5">
        <f>IF(B5="", "", SUM($B$4:B5))</f>
        <v>5508</v>
      </c>
      <c r="E5">
        <f>IF(AND(B5="", D5=""), "", N(LOOKUP(2, 1/($E$3:E4&lt;&gt;""), $E$3:E4)) + B5 - D5)</f>
        <v>5508</v>
      </c>
    </row>
    <row r="6" spans="1:5" x14ac:dyDescent="0.25">
      <c r="A6" s="3">
        <v>45944</v>
      </c>
      <c r="C6" t="str">
        <f>IF(B6="", "", SUM($B$4:B6))</f>
        <v/>
      </c>
      <c r="D6">
        <v>2000</v>
      </c>
      <c r="E6">
        <f>IF(AND(B6="", D6=""), "", N(LOOKUP(2, 1/($E$3:E5&lt;&gt;""), $E$3:E5)) + B6 - D6)</f>
        <v>3508</v>
      </c>
    </row>
    <row r="7" spans="1:5" x14ac:dyDescent="0.25">
      <c r="A7" s="3">
        <v>45956</v>
      </c>
      <c r="B7">
        <v>2460</v>
      </c>
      <c r="C7">
        <f>IF(B7="", "", SUM($B$4:B7))</f>
        <v>7968</v>
      </c>
      <c r="E7">
        <f>IF(AND(B7="", D7=""), "", N(LOOKUP(2, 1/($E$3:E6&lt;&gt;""), $E$3:E6)) + B7 - D7)</f>
        <v>5968</v>
      </c>
    </row>
    <row r="8" spans="1:5" x14ac:dyDescent="0.25">
      <c r="A8" s="3">
        <v>45956</v>
      </c>
      <c r="C8" t="str">
        <f>IF(B8="", "", SUM($B$4:B8))</f>
        <v/>
      </c>
      <c r="D8">
        <v>2000</v>
      </c>
      <c r="E8">
        <f>IF(AND(B8="", D8=""), "", N(LOOKUP(2, 1/($E$3:E7&lt;&gt;""), $E$3:E7)) + B8 - D8)</f>
        <v>3968</v>
      </c>
    </row>
    <row r="9" spans="1:5" x14ac:dyDescent="0.25">
      <c r="A9" s="3">
        <v>45974</v>
      </c>
      <c r="C9" t="str">
        <f>IF(B9="", "", SUM($B$4:B9))</f>
        <v/>
      </c>
      <c r="D9">
        <v>1500</v>
      </c>
      <c r="E9">
        <f>IF(AND(B9="", D9=""), "", N(LOOKUP(2, 1/($E$3:E8&lt;&gt;""), $E$3:E8)) + B9 - D9)</f>
        <v>2468</v>
      </c>
    </row>
    <row r="10" spans="1:5" x14ac:dyDescent="0.25">
      <c r="A10" s="3">
        <v>46037</v>
      </c>
      <c r="C10" t="str">
        <f>IF(B10="", "", SUM($B$4:B10))</f>
        <v/>
      </c>
      <c r="D10">
        <v>2460</v>
      </c>
      <c r="E10">
        <f>IF(AND(B10="", D10=""), "", N(LOOKUP(2, 1/($E$3:E9&lt;&gt;""), $E$3:E9)) + B10 - D10)</f>
        <v>8</v>
      </c>
    </row>
    <row r="11" spans="1:5" x14ac:dyDescent="0.25">
      <c r="A11" s="3">
        <v>46068</v>
      </c>
      <c r="B11">
        <v>9400</v>
      </c>
      <c r="C11">
        <f>IF(B11="", "", SUM($B$4:B11))</f>
        <v>17368</v>
      </c>
      <c r="E11">
        <f>IF(AND(B11="", D11=""), "", N(LOOKUP(2, 1/($E$3:E10&lt;&gt;""), $E$3:E10)) + B11 - D11)</f>
        <v>9408</v>
      </c>
    </row>
    <row r="12" spans="1:5" x14ac:dyDescent="0.25">
      <c r="A12" s="3">
        <v>46068</v>
      </c>
      <c r="C12" t="str">
        <f>IF(B12="", "", SUM($B$4:B12))</f>
        <v/>
      </c>
      <c r="D12">
        <v>4008</v>
      </c>
      <c r="E12">
        <f>IF(AND(B12="", D12=""), "", N(LOOKUP(2, 1/($E$3:E11&lt;&gt;""), $E$3:E11)) + B12 - D12)</f>
        <v>5400</v>
      </c>
    </row>
    <row r="13" spans="1:5" x14ac:dyDescent="0.25">
      <c r="A13" s="3">
        <v>46110</v>
      </c>
      <c r="C13" t="str">
        <f>IF(B13="", "", SUM($B$4:B13))</f>
        <v/>
      </c>
      <c r="D13">
        <v>2000</v>
      </c>
      <c r="E13">
        <f>IF(AND(B13="", D13=""), "", N(LOOKUP(2, 1/($E$3:E12&lt;&gt;""), $E$3:E12)) + B13 - D13)</f>
        <v>3400</v>
      </c>
    </row>
    <row r="14" spans="1:5" x14ac:dyDescent="0.25">
      <c r="A14" s="3">
        <v>46128</v>
      </c>
      <c r="C14" t="str">
        <f>IF(B14="", "", SUM($B$4:B14))</f>
        <v/>
      </c>
      <c r="D14">
        <v>2000</v>
      </c>
      <c r="E14">
        <f>IF(AND(B14="", D14=""), "", N(LOOKUP(2, 1/($E$3:E13&lt;&gt;""), $E$3:E13)) + B14 - D14)</f>
        <v>1400</v>
      </c>
    </row>
    <row r="15" spans="1:5" x14ac:dyDescent="0.25">
      <c r="A15" s="3">
        <v>46145</v>
      </c>
      <c r="C15" t="str">
        <f>IF(B15="", "", SUM($B$4:B15))</f>
        <v/>
      </c>
      <c r="D15">
        <v>1400</v>
      </c>
      <c r="E15">
        <f>IF(AND(B15="", D15=""), "", N(LOOKUP(2, 1/($E$3:E14&lt;&gt;""), $E$3:E14)) + B15 - D15)</f>
        <v>0</v>
      </c>
    </row>
    <row r="16" spans="1:5" x14ac:dyDescent="0.25">
      <c r="A16" s="3">
        <v>46153</v>
      </c>
      <c r="B16">
        <v>10400</v>
      </c>
      <c r="C16">
        <f>IF(B16="", "", SUM($B$4:B16))</f>
        <v>27768</v>
      </c>
      <c r="E16">
        <f>IF(AND(B16="", D16=""), "", N(LOOKUP(2, 1/($E$3:E15&lt;&gt;""), $E$3:E15)) + B16 - D16)</f>
        <v>10400</v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C8D8-872E-4B59-873E-116FD555DF20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44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45929</v>
      </c>
      <c r="B4">
        <v>9600</v>
      </c>
      <c r="C4">
        <f>IF(B4="", "", SUM($B$4:B4))</f>
        <v>9600</v>
      </c>
      <c r="E4">
        <f>IF(AND(B4="", D4=""), "", N(LOOKUP(2, 1/($E$3:E3&lt;&gt;""), $E$3:E3)) + B4 - D4)</f>
        <v>9600</v>
      </c>
    </row>
    <row r="5" spans="1:5" x14ac:dyDescent="0.25">
      <c r="A5" s="3">
        <v>45930</v>
      </c>
      <c r="C5" t="str">
        <f>IF(B5="", "", SUM($B$4:B5))</f>
        <v/>
      </c>
      <c r="D5">
        <v>4000</v>
      </c>
      <c r="E5">
        <f>IF(AND(B5="", D5=""), "", N(LOOKUP(2, 1/($E$3:E4&lt;&gt;""), $E$3:E4)) + B5 - D5)</f>
        <v>5600</v>
      </c>
    </row>
    <row r="6" spans="1:5" x14ac:dyDescent="0.25">
      <c r="A6" s="3">
        <v>46152</v>
      </c>
      <c r="C6" t="str">
        <f>IF(B6="", "", SUM($B$4:B6))</f>
        <v/>
      </c>
      <c r="D6">
        <v>2000</v>
      </c>
      <c r="E6">
        <f>IF(AND(B6="", D6=""), "", N(LOOKUP(2, 1/($E$3:E5&lt;&gt;""), $E$3:E5)) + B6 - D6)</f>
        <v>3600</v>
      </c>
    </row>
    <row r="7" spans="1:5" x14ac:dyDescent="0.25">
      <c r="C7" t="str">
        <f>IF(B7="", "", SUM($B$4:B7))</f>
        <v/>
      </c>
      <c r="E7" t="str">
        <f>IF(AND(B7="", D7=""), "", N(LOOKUP(2, 1/($E$3:E6&lt;&gt;""), $E$3:E6)) + B7 - D7)</f>
        <v/>
      </c>
    </row>
    <row r="8" spans="1:5" x14ac:dyDescent="0.25">
      <c r="C8" t="str">
        <f>IF(B8="", "", SUM($B$4:B8))</f>
        <v/>
      </c>
      <c r="E8" t="str">
        <f>IF(AND(B8="", D8=""), "", N(LOOKUP(2, 1/($E$3:E7&lt;&gt;""), $E$3:E7)) + B8 - D8)</f>
        <v/>
      </c>
    </row>
    <row r="9" spans="1:5" x14ac:dyDescent="0.25">
      <c r="C9" t="str">
        <f>IF(B9="", "", SUM($B$4:B9))</f>
        <v/>
      </c>
      <c r="E9" t="str">
        <f>IF(AND(B9="", D9=""), "", N(LOOKUP(2, 1/($E$3:E8&lt;&gt;""), $E$3:E8)) + B9 - D9)</f>
        <v/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EBFD-8221-4E37-9B57-14315F5D702B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45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45874</v>
      </c>
      <c r="B4">
        <v>757</v>
      </c>
      <c r="C4">
        <f>IF(B4="", "", SUM($B$4:B4))</f>
        <v>757</v>
      </c>
      <c r="E4">
        <f>IF(AND(B4="", D4=""), "", N(LOOKUP(2, 1/($E$3:E3&lt;&gt;""), $E$3:E3)) + B4 - D4)</f>
        <v>757</v>
      </c>
    </row>
    <row r="5" spans="1:5" x14ac:dyDescent="0.25">
      <c r="A5" s="3">
        <v>45942</v>
      </c>
      <c r="C5" t="str">
        <f>IF(B5="", "", SUM($B$4:B5))</f>
        <v/>
      </c>
      <c r="D5">
        <v>757</v>
      </c>
      <c r="E5">
        <f>IF(AND(B5="", D5=""), "", N(LOOKUP(2, 1/($E$3:E4&lt;&gt;""), $E$3:E4)) + B5 - D5)</f>
        <v>0</v>
      </c>
    </row>
    <row r="6" spans="1:5" x14ac:dyDescent="0.25">
      <c r="A6" s="3">
        <v>46050</v>
      </c>
      <c r="B6">
        <v>4030</v>
      </c>
      <c r="C6">
        <f>IF(B6="", "", SUM($B$4:B6))</f>
        <v>4787</v>
      </c>
      <c r="E6">
        <f>IF(AND(B6="", D6=""), "", N(LOOKUP(2, 1/($E$3:E5&lt;&gt;""), $E$3:E5)) + B6 - D6)</f>
        <v>4030</v>
      </c>
    </row>
    <row r="7" spans="1:5" x14ac:dyDescent="0.25">
      <c r="A7" s="3">
        <v>46054</v>
      </c>
      <c r="C7" t="str">
        <f>IF(B7="", "", SUM($B$4:B7))</f>
        <v/>
      </c>
      <c r="D7">
        <v>2000</v>
      </c>
      <c r="E7">
        <f>IF(AND(B7="", D7=""), "", N(LOOKUP(2, 1/($E$3:E6&lt;&gt;""), $E$3:E6)) + B7 - D7)</f>
        <v>2030</v>
      </c>
    </row>
    <row r="8" spans="1:5" x14ac:dyDescent="0.25">
      <c r="A8" s="3">
        <v>46110</v>
      </c>
      <c r="C8" t="str">
        <f>IF(B8="", "", SUM($B$4:B8))</f>
        <v/>
      </c>
      <c r="D8">
        <v>1000</v>
      </c>
      <c r="E8">
        <f>IF(AND(B8="", D8=""), "", N(LOOKUP(2, 1/($E$3:E7&lt;&gt;""), $E$3:E7)) + B8 - D8)</f>
        <v>1030</v>
      </c>
    </row>
    <row r="9" spans="1:5" x14ac:dyDescent="0.25">
      <c r="A9" s="3">
        <v>46128</v>
      </c>
      <c r="C9" t="str">
        <f>IF(B9="", "", SUM($B$4:B9))</f>
        <v/>
      </c>
      <c r="D9">
        <v>500</v>
      </c>
      <c r="E9">
        <f>IF(AND(B9="", D9=""), "", N(LOOKUP(2, 1/($E$3:E8&lt;&gt;""), $E$3:E8)) + B9 - D9)</f>
        <v>530</v>
      </c>
    </row>
    <row r="10" spans="1:5" x14ac:dyDescent="0.25">
      <c r="A10" s="3">
        <v>46152</v>
      </c>
      <c r="C10" t="str">
        <f>IF(B10="", "", SUM($B$4:B10))</f>
        <v/>
      </c>
      <c r="D10">
        <v>530</v>
      </c>
      <c r="E10">
        <f>IF(AND(B10="", D10=""), "", N(LOOKUP(2, 1/($E$3:E9&lt;&gt;""), $E$3:E9)) + B10 - D10)</f>
        <v>0</v>
      </c>
    </row>
    <row r="11" spans="1:5" x14ac:dyDescent="0.25">
      <c r="A11" s="3">
        <v>46189</v>
      </c>
      <c r="B11">
        <v>3274</v>
      </c>
      <c r="C11">
        <f>IF(B11="", "", SUM($B$4:B11))</f>
        <v>8061</v>
      </c>
      <c r="E11">
        <f>IF(AND(B11="", D11=""), "", N(LOOKUP(2, 1/($E$3:E10&lt;&gt;""), $E$3:E10)) + B11 - D11)</f>
        <v>3274</v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36F7-E9F8-485C-A2A8-93F0883AE27B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46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45971</v>
      </c>
      <c r="B4">
        <v>4840</v>
      </c>
      <c r="C4">
        <f>IF(B4="", "", SUM($B$4:B4))</f>
        <v>4840</v>
      </c>
      <c r="E4">
        <f>IF(AND(B4="", D4=""), "", N(LOOKUP(2, 1/($E$3:E3&lt;&gt;""), $E$3:E3)) + B4 - D4)</f>
        <v>4840</v>
      </c>
    </row>
    <row r="5" spans="1:5" x14ac:dyDescent="0.25">
      <c r="A5" s="3">
        <v>45971</v>
      </c>
      <c r="C5" t="str">
        <f>IF(B5="", "", SUM($B$4:B5))</f>
        <v/>
      </c>
      <c r="D5">
        <v>1000</v>
      </c>
      <c r="E5">
        <f>IF(AND(B5="", D5=""), "", N(LOOKUP(2, 1/($E$3:E4&lt;&gt;""), $E$3:E4)) + B5 - D5)</f>
        <v>3840</v>
      </c>
    </row>
    <row r="6" spans="1:5" x14ac:dyDescent="0.25">
      <c r="A6" s="3">
        <v>45984</v>
      </c>
      <c r="C6" t="str">
        <f>IF(B6="", "", SUM($B$4:B6))</f>
        <v/>
      </c>
      <c r="D6">
        <v>1000</v>
      </c>
      <c r="E6">
        <f>IF(AND(B6="", D6=""), "", N(LOOKUP(2, 1/($E$3:E5&lt;&gt;""), $E$3:E5)) + B6 - D6)</f>
        <v>2840</v>
      </c>
    </row>
    <row r="7" spans="1:5" x14ac:dyDescent="0.25">
      <c r="A7" s="3">
        <v>46019</v>
      </c>
      <c r="C7" t="str">
        <f>IF(B7="", "", SUM($B$4:B7))</f>
        <v/>
      </c>
      <c r="D7">
        <v>800</v>
      </c>
      <c r="E7">
        <f>IF(AND(B7="", D7=""), "", N(LOOKUP(2, 1/($E$3:E6&lt;&gt;""), $E$3:E6)) + B7 - D7)</f>
        <v>2040</v>
      </c>
    </row>
    <row r="8" spans="1:5" x14ac:dyDescent="0.25">
      <c r="A8" s="3">
        <v>46040</v>
      </c>
      <c r="C8" t="str">
        <f>IF(B8="", "", SUM($B$4:B8))</f>
        <v/>
      </c>
      <c r="D8">
        <v>1000</v>
      </c>
      <c r="E8">
        <f>IF(AND(B8="", D8=""), "", N(LOOKUP(2, 1/($E$3:E7&lt;&gt;""), $E$3:E7)) + B8 - D8)</f>
        <v>1040</v>
      </c>
    </row>
    <row r="9" spans="1:5" x14ac:dyDescent="0.25">
      <c r="A9" s="3">
        <v>46075</v>
      </c>
      <c r="C9" t="str">
        <f>IF(B9="", "", SUM($B$4:B9))</f>
        <v/>
      </c>
      <c r="D9">
        <v>1040</v>
      </c>
      <c r="E9">
        <f>IF(AND(B9="", D9=""), "", N(LOOKUP(2, 1/($E$3:E8&lt;&gt;""), $E$3:E8)) + B9 - D9)</f>
        <v>0</v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028D-7A87-413A-9F52-6EFA4A1F2828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47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45910</v>
      </c>
      <c r="B4">
        <v>11470</v>
      </c>
      <c r="C4">
        <f>IF(B4="", "", SUM($B$4:B4))</f>
        <v>11470</v>
      </c>
      <c r="E4">
        <f>IF(AND(B4="", D4=""), "", N(LOOKUP(2, 1/($E$3:E3&lt;&gt;""), $E$3:E3)) + B4 - D4)</f>
        <v>11470</v>
      </c>
    </row>
    <row r="5" spans="1:5" x14ac:dyDescent="0.25">
      <c r="A5" s="3">
        <v>45919</v>
      </c>
      <c r="C5" t="str">
        <f>IF(B5="", "", SUM($B$4:B5))</f>
        <v/>
      </c>
      <c r="D5">
        <v>1000</v>
      </c>
      <c r="E5">
        <f>IF(AND(B5="", D5=""), "", N(LOOKUP(2, 1/($E$3:E4&lt;&gt;""), $E$3:E4)) + B5 - D5)</f>
        <v>10470</v>
      </c>
    </row>
    <row r="6" spans="1:5" x14ac:dyDescent="0.25">
      <c r="A6" s="3">
        <v>45929</v>
      </c>
      <c r="B6">
        <v>17348</v>
      </c>
      <c r="C6">
        <f>IF(B6="", "", SUM($B$4:B6))</f>
        <v>28818</v>
      </c>
      <c r="E6">
        <f>IF(AND(B6="", D6=""), "", N(LOOKUP(2, 1/($E$3:E5&lt;&gt;""), $E$3:E5)) + B6 - D6)</f>
        <v>27818</v>
      </c>
    </row>
    <row r="7" spans="1:5" x14ac:dyDescent="0.25">
      <c r="A7" s="3">
        <v>45935</v>
      </c>
      <c r="C7" t="str">
        <f>IF(B7="", "", SUM($B$4:B7))</f>
        <v/>
      </c>
      <c r="D7">
        <v>1000</v>
      </c>
      <c r="E7">
        <f>IF(AND(B7="", D7=""), "", N(LOOKUP(2, 1/($E$3:E6&lt;&gt;""), $E$3:E6)) + B7 - D7)</f>
        <v>26818</v>
      </c>
    </row>
    <row r="8" spans="1:5" x14ac:dyDescent="0.25">
      <c r="A8" s="3">
        <v>45937</v>
      </c>
      <c r="C8" t="str">
        <f>IF(B8="", "", SUM($B$4:B8))</f>
        <v/>
      </c>
      <c r="D8">
        <v>5000</v>
      </c>
      <c r="E8">
        <f>IF(AND(B8="", D8=""), "", N(LOOKUP(2, 1/($E$3:E7&lt;&gt;""), $E$3:E7)) + B8 - D8)</f>
        <v>21818</v>
      </c>
    </row>
    <row r="9" spans="1:5" x14ac:dyDescent="0.25">
      <c r="A9" s="3">
        <v>45944</v>
      </c>
      <c r="C9" t="str">
        <f>IF(B9="", "", SUM($B$4:B9))</f>
        <v/>
      </c>
      <c r="D9">
        <v>1000</v>
      </c>
      <c r="E9">
        <f>IF(AND(B9="", D9=""), "", N(LOOKUP(2, 1/($E$3:E8&lt;&gt;""), $E$3:E8)) + B9 - D9)</f>
        <v>20818</v>
      </c>
    </row>
    <row r="10" spans="1:5" x14ac:dyDescent="0.25">
      <c r="A10" s="3">
        <v>45963</v>
      </c>
      <c r="C10" t="str">
        <f>IF(B10="", "", SUM($B$4:B10))</f>
        <v/>
      </c>
      <c r="D10">
        <v>1500</v>
      </c>
      <c r="E10">
        <f>IF(AND(B10="", D10=""), "", N(LOOKUP(2, 1/($E$3:E9&lt;&gt;""), $E$3:E9)) + B10 - D10)</f>
        <v>19318</v>
      </c>
    </row>
    <row r="11" spans="1:5" x14ac:dyDescent="0.25">
      <c r="A11" s="3">
        <v>45970</v>
      </c>
      <c r="C11" t="str">
        <f>IF(B11="", "", SUM($B$4:B11))</f>
        <v/>
      </c>
      <c r="D11">
        <v>1500</v>
      </c>
      <c r="E11">
        <f>IF(AND(B11="", D11=""), "", N(LOOKUP(2, 1/($E$3:E10&lt;&gt;""), $E$3:E10)) + B11 - D11)</f>
        <v>17818</v>
      </c>
    </row>
    <row r="12" spans="1:5" x14ac:dyDescent="0.25">
      <c r="A12" s="3">
        <v>45971</v>
      </c>
      <c r="B12">
        <v>15714</v>
      </c>
      <c r="C12">
        <f>IF(B12="", "", SUM($B$4:B12))</f>
        <v>44532</v>
      </c>
      <c r="E12">
        <f>IF(AND(B12="", D12=""), "", N(LOOKUP(2, 1/($E$3:E11&lt;&gt;""), $E$3:E11)) + B12 - D12)</f>
        <v>33532</v>
      </c>
    </row>
    <row r="13" spans="1:5" x14ac:dyDescent="0.25">
      <c r="A13" s="3">
        <v>45974</v>
      </c>
      <c r="C13" t="str">
        <f>IF(B13="", "", SUM($B$4:B13))</f>
        <v/>
      </c>
      <c r="D13">
        <v>2000</v>
      </c>
      <c r="E13">
        <f>IF(AND(B13="", D13=""), "", N(LOOKUP(2, 1/($E$3:E12&lt;&gt;""), $E$3:E12)) + B13 - D13)</f>
        <v>31532</v>
      </c>
    </row>
    <row r="14" spans="1:5" x14ac:dyDescent="0.25">
      <c r="A14" s="3">
        <v>45984</v>
      </c>
      <c r="C14" t="str">
        <f>IF(B14="", "", SUM($B$4:B14))</f>
        <v/>
      </c>
      <c r="D14">
        <v>1532</v>
      </c>
      <c r="E14">
        <f>IF(AND(B14="", D14=""), "", N(LOOKUP(2, 1/($E$3:E13&lt;&gt;""), $E$3:E13)) + B14 - D14)</f>
        <v>30000</v>
      </c>
    </row>
    <row r="15" spans="1:5" x14ac:dyDescent="0.25">
      <c r="A15" s="3">
        <v>45998</v>
      </c>
      <c r="C15" t="str">
        <f>IF(B15="", "", SUM($B$4:B15))</f>
        <v/>
      </c>
      <c r="D15">
        <v>1500</v>
      </c>
      <c r="E15">
        <f>IF(AND(B15="", D15=""), "", N(LOOKUP(2, 1/($E$3:E14&lt;&gt;""), $E$3:E14)) + B15 - D15)</f>
        <v>28500</v>
      </c>
    </row>
    <row r="16" spans="1:5" x14ac:dyDescent="0.25">
      <c r="A16" s="3">
        <v>46009</v>
      </c>
      <c r="C16" t="str">
        <f>IF(B16="", "", SUM($B$4:B16))</f>
        <v/>
      </c>
      <c r="D16">
        <v>2000</v>
      </c>
      <c r="E16">
        <f>IF(AND(B16="", D16=""), "", N(LOOKUP(2, 1/($E$3:E15&lt;&gt;""), $E$3:E15)) + B16 - D16)</f>
        <v>26500</v>
      </c>
    </row>
    <row r="17" spans="1:6" x14ac:dyDescent="0.25">
      <c r="A17" s="3">
        <v>46012</v>
      </c>
      <c r="C17" t="str">
        <f>IF(B17="", "", SUM($B$4:B17))</f>
        <v/>
      </c>
      <c r="D17">
        <v>1500</v>
      </c>
      <c r="E17">
        <f>IF(AND(B17="", D17=""), "", N(LOOKUP(2, 1/($E$3:E16&lt;&gt;""), $E$3:E16)) + B17 - D17)</f>
        <v>25000</v>
      </c>
    </row>
    <row r="18" spans="1:6" x14ac:dyDescent="0.25">
      <c r="A18" s="3">
        <v>46019</v>
      </c>
      <c r="C18" t="str">
        <f>IF(B18="", "", SUM($B$4:B18))</f>
        <v/>
      </c>
      <c r="D18">
        <v>1500</v>
      </c>
      <c r="E18">
        <f>IF(AND(B18="", D18=""), "", N(LOOKUP(2, 1/($E$3:E17&lt;&gt;""), $E$3:E17)) + B18 - D18)</f>
        <v>23500</v>
      </c>
    </row>
    <row r="19" spans="1:6" x14ac:dyDescent="0.25">
      <c r="A19" s="3">
        <v>46037</v>
      </c>
      <c r="C19" t="str">
        <f>IF(B19="", "", SUM($B$4:B19))</f>
        <v/>
      </c>
      <c r="D19">
        <v>1500</v>
      </c>
      <c r="E19">
        <f>IF(AND(B19="", D19=""), "", N(LOOKUP(2, 1/($E$3:E18&lt;&gt;""), $E$3:E18)) + B19 - D19)</f>
        <v>22000</v>
      </c>
    </row>
    <row r="20" spans="1:6" x14ac:dyDescent="0.25">
      <c r="A20" s="3">
        <v>46040</v>
      </c>
      <c r="C20" t="str">
        <f>IF(B20="", "", SUM($B$4:B20))</f>
        <v/>
      </c>
      <c r="D20">
        <v>1000</v>
      </c>
      <c r="E20">
        <f>IF(AND(B20="", D20=""), "", N(LOOKUP(2, 1/($E$3:E19&lt;&gt;""), $E$3:E19)) + B20 - D20)</f>
        <v>21000</v>
      </c>
    </row>
    <row r="21" spans="1:6" x14ac:dyDescent="0.25">
      <c r="A21" s="3">
        <v>46040</v>
      </c>
      <c r="C21" t="str">
        <f>IF(B21="", "", SUM($B$4:B21))</f>
        <v/>
      </c>
      <c r="D21">
        <v>3400</v>
      </c>
      <c r="E21">
        <f>IF(AND(B21="", D21=""), "", N(LOOKUP(2, 1/($E$3:E20&lt;&gt;""), $E$3:E20)) + B21 - D21)</f>
        <v>17600</v>
      </c>
      <c r="F21" s="4" t="s">
        <v>48</v>
      </c>
    </row>
    <row r="22" spans="1:6" x14ac:dyDescent="0.25">
      <c r="A22" s="3">
        <v>46054</v>
      </c>
      <c r="C22" t="str">
        <f>IF(B22="", "", SUM($B$4:B22))</f>
        <v/>
      </c>
      <c r="D22">
        <v>1000</v>
      </c>
      <c r="E22">
        <f>IF(AND(B22="", D22=""), "", N(LOOKUP(2, 1/($E$3:E21&lt;&gt;""), $E$3:E21)) + B22 - D22)</f>
        <v>16600</v>
      </c>
    </row>
    <row r="23" spans="1:6" x14ac:dyDescent="0.25">
      <c r="A23" s="3">
        <v>46061</v>
      </c>
      <c r="B23">
        <v>5760</v>
      </c>
      <c r="C23">
        <f>IF(B23="", "", SUM($B$4:B23))</f>
        <v>50292</v>
      </c>
      <c r="E23">
        <f>IF(AND(B23="", D23=""), "", N(LOOKUP(2, 1/($E$3:E22&lt;&gt;""), $E$3:E22)) + B23 - D23)</f>
        <v>22360</v>
      </c>
    </row>
    <row r="24" spans="1:6" x14ac:dyDescent="0.25">
      <c r="A24" s="3">
        <v>46075</v>
      </c>
      <c r="C24" t="str">
        <f>IF(B24="", "", SUM($B$4:B24))</f>
        <v/>
      </c>
      <c r="D24">
        <v>1500</v>
      </c>
      <c r="E24">
        <f>IF(AND(B24="", D24=""), "", N(LOOKUP(2, 1/($E$3:E23&lt;&gt;""), $E$3:E23)) + B24 - D24)</f>
        <v>20860</v>
      </c>
    </row>
    <row r="25" spans="1:6" x14ac:dyDescent="0.25">
      <c r="A25" s="3">
        <v>46089</v>
      </c>
      <c r="C25" t="str">
        <f>IF(B25="", "", SUM($B$4:B25))</f>
        <v/>
      </c>
      <c r="D25">
        <v>1500</v>
      </c>
      <c r="E25">
        <f>IF(AND(B25="", D25=""), "", N(LOOKUP(2, 1/($E$3:E24&lt;&gt;""), $E$3:E24)) + B25 - D25)</f>
        <v>19360</v>
      </c>
    </row>
    <row r="26" spans="1:6" x14ac:dyDescent="0.25">
      <c r="A26" s="3">
        <v>46110</v>
      </c>
      <c r="C26" t="str">
        <f>IF(B26="", "", SUM($B$4:B26))</f>
        <v/>
      </c>
      <c r="D26">
        <v>2000</v>
      </c>
      <c r="E26">
        <f>IF(AND(B26="", D26=""), "", N(LOOKUP(2, 1/($E$3:E25&lt;&gt;""), $E$3:E25)) + B26 - D26)</f>
        <v>17360</v>
      </c>
    </row>
    <row r="27" spans="1:6" x14ac:dyDescent="0.25">
      <c r="A27" s="3">
        <v>46119</v>
      </c>
      <c r="C27" t="str">
        <f>IF(B27="", "", SUM($B$4:B27))</f>
        <v/>
      </c>
      <c r="D27">
        <v>1000</v>
      </c>
      <c r="E27">
        <f>IF(AND(B27="", D27=""), "", N(LOOKUP(2, 1/($E$3:E26&lt;&gt;""), $E$3:E26)) + B27 - D27)</f>
        <v>16360</v>
      </c>
      <c r="F27" s="4" t="s">
        <v>52</v>
      </c>
    </row>
    <row r="28" spans="1:6" x14ac:dyDescent="0.25">
      <c r="A28" s="3">
        <v>46138</v>
      </c>
      <c r="C28" t="str">
        <f>IF(B28="", "", SUM($B$4:B28))</f>
        <v/>
      </c>
      <c r="D28">
        <v>2000</v>
      </c>
      <c r="E28">
        <f>IF(AND(B28="", D28=""), "", N(LOOKUP(2, 1/($E$3:E27&lt;&gt;""), $E$3:E27)) + B28 - D28)</f>
        <v>14360</v>
      </c>
    </row>
    <row r="29" spans="1:6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1:6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1:6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1:6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DC41-354B-4495-8957-F48540AADF17}">
  <dimension ref="A1:F102"/>
  <sheetViews>
    <sheetView workbookViewId="0">
      <selection sqref="A1:A2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49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A4" s="3">
        <v>45914</v>
      </c>
      <c r="B4">
        <v>146769</v>
      </c>
      <c r="C4">
        <f>IF(B4="", "", SUM($B$4:B4))</f>
        <v>146769</v>
      </c>
      <c r="E4">
        <f>IF(AND(B4="", D4=""), "", N(LOOKUP(2, 1/($E$3:E3&lt;&gt;""), $E$3:E3)) + B4 - D4)</f>
        <v>146769</v>
      </c>
    </row>
    <row r="5" spans="1:5" x14ac:dyDescent="0.25">
      <c r="A5" s="3">
        <v>45935</v>
      </c>
      <c r="C5" t="str">
        <f>IF(B5="", "", SUM($B$4:B5))</f>
        <v/>
      </c>
      <c r="D5">
        <v>5000</v>
      </c>
      <c r="E5">
        <f>IF(AND(B5="", D5=""), "", N(LOOKUP(2, 1/($E$3:E4&lt;&gt;""), $E$3:E4)) + B5 - D5)</f>
        <v>141769</v>
      </c>
    </row>
    <row r="6" spans="1:5" x14ac:dyDescent="0.25">
      <c r="C6" t="str">
        <f>IF(B6="", "", SUM($B$4:B6))</f>
        <v/>
      </c>
      <c r="E6" t="str">
        <f>IF(AND(B6="", D6=""), "", N(LOOKUP(2, 1/($E$3:E5&lt;&gt;""), $E$3:E5)) + B6 - D6)</f>
        <v/>
      </c>
    </row>
    <row r="7" spans="1:5" x14ac:dyDescent="0.25">
      <c r="C7" t="str">
        <f>IF(B7="", "", SUM($B$4:B7))</f>
        <v/>
      </c>
      <c r="E7" t="str">
        <f>IF(AND(B7="", D7=""), "", N(LOOKUP(2, 1/($E$3:E6&lt;&gt;""), $E$3:E6)) + B7 - D7)</f>
        <v/>
      </c>
    </row>
    <row r="8" spans="1:5" x14ac:dyDescent="0.25">
      <c r="C8" t="str">
        <f>IF(B8="", "", SUM($B$4:B8))</f>
        <v/>
      </c>
      <c r="E8" t="str">
        <f>IF(AND(B8="", D8=""), "", N(LOOKUP(2, 1/($E$3:E7&lt;&gt;""), $E$3:E7)) + B8 - D8)</f>
        <v/>
      </c>
    </row>
    <row r="9" spans="1:5" x14ac:dyDescent="0.25">
      <c r="C9" t="str">
        <f>IF(B9="", "", SUM($B$4:B9))</f>
        <v/>
      </c>
      <c r="E9" t="str">
        <f>IF(AND(B9="", D9=""), "", N(LOOKUP(2, 1/($E$3:E8&lt;&gt;""), $E$3:E8)) + B9 - D9)</f>
        <v/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65F2-8AC6-47F1-8D48-3AD9A60FE3A9}">
  <dimension ref="A1:F102"/>
  <sheetViews>
    <sheetView workbookViewId="0">
      <selection activeCell="K18" sqref="K18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20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C4" t="str">
        <f>IF(B4="", "", SUM($B$4:B4))</f>
        <v/>
      </c>
      <c r="E4" t="str">
        <f>IF(AND(B4="", D4=""), "", N(LOOKUP(2, 1/($E$3:E3&lt;&gt;""), $E$3:E3)) + B4 - D4)</f>
        <v/>
      </c>
    </row>
    <row r="5" spans="1:5" x14ac:dyDescent="0.25">
      <c r="C5" t="str">
        <f>IF(B5="", "", SUM($B$4:B5))</f>
        <v/>
      </c>
      <c r="E5" t="str">
        <f>IF(AND(B5="", D5=""), "", N(LOOKUP(2, 1/($E$3:E4&lt;&gt;""), $E$3:E4)) + B5 - D5)</f>
        <v/>
      </c>
    </row>
    <row r="6" spans="1:5" x14ac:dyDescent="0.25">
      <c r="C6" t="str">
        <f>IF(B6="", "", SUM($B$4:B6))</f>
        <v/>
      </c>
      <c r="E6" t="str">
        <f>IF(AND(B6="", D6=""), "", N(LOOKUP(2, 1/($E$3:E5&lt;&gt;""), $E$3:E5)) + B6 - D6)</f>
        <v/>
      </c>
    </row>
    <row r="7" spans="1:5" x14ac:dyDescent="0.25">
      <c r="C7" t="str">
        <f>IF(B7="", "", SUM($B$4:B7))</f>
        <v/>
      </c>
      <c r="E7" t="str">
        <f>IF(AND(B7="", D7=""), "", N(LOOKUP(2, 1/($E$3:E6&lt;&gt;""), $E$3:E6)) + B7 - D7)</f>
        <v/>
      </c>
    </row>
    <row r="8" spans="1:5" x14ac:dyDescent="0.25">
      <c r="C8" t="str">
        <f>IF(B8="", "", SUM($B$4:B8))</f>
        <v/>
      </c>
      <c r="E8" t="str">
        <f>IF(AND(B8="", D8=""), "", N(LOOKUP(2, 1/($E$3:E7&lt;&gt;""), $E$3:E7)) + B8 - D8)</f>
        <v/>
      </c>
    </row>
    <row r="9" spans="1:5" x14ac:dyDescent="0.25">
      <c r="C9" t="str">
        <f>IF(B9="", "", SUM($B$4:B9))</f>
        <v/>
      </c>
      <c r="E9" t="str">
        <f>IF(AND(B9="", D9=""), "", N(LOOKUP(2, 1/($E$3:E8&lt;&gt;""), $E$3:E8)) + B9 - D9)</f>
        <v/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4FE4-DF5C-4D5B-B88A-A94A0D7D5F4E}">
  <dimension ref="A1:F102"/>
  <sheetViews>
    <sheetView workbookViewId="0">
      <selection activeCell="I15" sqref="I15"/>
    </sheetView>
  </sheetViews>
  <sheetFormatPr defaultRowHeight="15" x14ac:dyDescent="0.25"/>
  <cols>
    <col min="1" max="1" width="10.7109375" style="3" bestFit="1" customWidth="1"/>
    <col min="6" max="6" width="19.5703125" style="4" bestFit="1" customWidth="1"/>
  </cols>
  <sheetData>
    <row r="1" spans="1:5" ht="15" customHeight="1" x14ac:dyDescent="0.25">
      <c r="A1" s="25" t="str">
        <f>HYPERLINK("#'Home'!A1", "Home")</f>
        <v>Home</v>
      </c>
      <c r="B1" s="24" t="s">
        <v>20</v>
      </c>
      <c r="C1" s="24"/>
      <c r="D1" s="24"/>
      <c r="E1" s="24"/>
    </row>
    <row r="2" spans="1:5" ht="15" customHeight="1" x14ac:dyDescent="0.25">
      <c r="A2" s="26"/>
      <c r="B2" s="24"/>
      <c r="C2" s="24"/>
      <c r="D2" s="24"/>
      <c r="E2" s="24"/>
    </row>
    <row r="3" spans="1:5" x14ac:dyDescent="0.25">
      <c r="A3" s="3" t="s">
        <v>0</v>
      </c>
      <c r="B3" t="s">
        <v>1</v>
      </c>
      <c r="C3" t="s">
        <v>2</v>
      </c>
      <c r="D3" t="s">
        <v>4</v>
      </c>
      <c r="E3" t="s">
        <v>3</v>
      </c>
    </row>
    <row r="4" spans="1:5" x14ac:dyDescent="0.25">
      <c r="C4" t="str">
        <f>IF(B4="", "", SUM($B$4:B4))</f>
        <v/>
      </c>
      <c r="E4" t="str">
        <f>IF(AND(B4="", D4=""), "", N(LOOKUP(2, 1/($E$3:E3&lt;&gt;""), $E$3:E3)) + B4 - D4)</f>
        <v/>
      </c>
    </row>
    <row r="5" spans="1:5" x14ac:dyDescent="0.25">
      <c r="C5" t="str">
        <f>IF(B5="", "", SUM($B$4:B5))</f>
        <v/>
      </c>
      <c r="E5" t="str">
        <f>IF(AND(B5="", D5=""), "", N(LOOKUP(2, 1/($E$3:E4&lt;&gt;""), $E$3:E4)) + B5 - D5)</f>
        <v/>
      </c>
    </row>
    <row r="6" spans="1:5" x14ac:dyDescent="0.25">
      <c r="C6" t="str">
        <f>IF(B6="", "", SUM($B$4:B6))</f>
        <v/>
      </c>
      <c r="E6" t="str">
        <f>IF(AND(B6="", D6=""), "", N(LOOKUP(2, 1/($E$3:E5&lt;&gt;""), $E$3:E5)) + B6 - D6)</f>
        <v/>
      </c>
    </row>
    <row r="7" spans="1:5" x14ac:dyDescent="0.25">
      <c r="C7" t="str">
        <f>IF(B7="", "", SUM($B$4:B7))</f>
        <v/>
      </c>
      <c r="E7" t="str">
        <f>IF(AND(B7="", D7=""), "", N(LOOKUP(2, 1/($E$3:E6&lt;&gt;""), $E$3:E6)) + B7 - D7)</f>
        <v/>
      </c>
    </row>
    <row r="8" spans="1:5" x14ac:dyDescent="0.25">
      <c r="C8" t="str">
        <f>IF(B8="", "", SUM($B$4:B8))</f>
        <v/>
      </c>
      <c r="E8" t="str">
        <f>IF(AND(B8="", D8=""), "", N(LOOKUP(2, 1/($E$3:E7&lt;&gt;""), $E$3:E7)) + B8 - D8)</f>
        <v/>
      </c>
    </row>
    <row r="9" spans="1:5" x14ac:dyDescent="0.25">
      <c r="C9" t="str">
        <f>IF(B9="", "", SUM($B$4:B9))</f>
        <v/>
      </c>
      <c r="E9" t="str">
        <f>IF(AND(B9="", D9=""), "", N(LOOKUP(2, 1/($E$3:E8&lt;&gt;""), $E$3:E8)) + B9 - D9)</f>
        <v/>
      </c>
    </row>
    <row r="10" spans="1:5" x14ac:dyDescent="0.25">
      <c r="C10" t="str">
        <f>IF(B10="", "", SUM($B$4:B10))</f>
        <v/>
      </c>
      <c r="E10" t="str">
        <f>IF(AND(B10="", D10=""), "", N(LOOKUP(2, 1/($E$3:E9&lt;&gt;""), $E$3:E9)) + B10 - D10)</f>
        <v/>
      </c>
    </row>
    <row r="11" spans="1:5" x14ac:dyDescent="0.25">
      <c r="C11" t="str">
        <f>IF(B11="", "", SUM($B$4:B11))</f>
        <v/>
      </c>
      <c r="E11" t="str">
        <f>IF(AND(B11="", D11=""), "", N(LOOKUP(2, 1/($E$3:E10&lt;&gt;""), $E$3:E10)) + B11 - D11)</f>
        <v/>
      </c>
    </row>
    <row r="12" spans="1:5" x14ac:dyDescent="0.25">
      <c r="C12" t="str">
        <f>IF(B12="", "", SUM($B$4:B12))</f>
        <v/>
      </c>
      <c r="E12" t="str">
        <f>IF(AND(B12="", D12=""), "", N(LOOKUP(2, 1/($E$3:E11&lt;&gt;""), $E$3:E11)) + B12 - D12)</f>
        <v/>
      </c>
    </row>
    <row r="13" spans="1:5" x14ac:dyDescent="0.25">
      <c r="C13" t="str">
        <f>IF(B13="", "", SUM($B$4:B13))</f>
        <v/>
      </c>
      <c r="E13" t="str">
        <f>IF(AND(B13="", D13=""), "", N(LOOKUP(2, 1/($E$3:E12&lt;&gt;""), $E$3:E12)) + B13 - D13)</f>
        <v/>
      </c>
    </row>
    <row r="14" spans="1:5" x14ac:dyDescent="0.25">
      <c r="C14" t="str">
        <f>IF(B14="", "", SUM($B$4:B14))</f>
        <v/>
      </c>
      <c r="E14" t="str">
        <f>IF(AND(B14="", D14=""), "", N(LOOKUP(2, 1/($E$3:E13&lt;&gt;""), $E$3:E13)) + B14 - D14)</f>
        <v/>
      </c>
    </row>
    <row r="15" spans="1:5" x14ac:dyDescent="0.25">
      <c r="C15" t="str">
        <f>IF(B15="", "", SUM($B$4:B15))</f>
        <v/>
      </c>
      <c r="E15" t="str">
        <f>IF(AND(B15="", D15=""), "", N(LOOKUP(2, 1/($E$3:E14&lt;&gt;""), $E$3:E14)) + B15 - D15)</f>
        <v/>
      </c>
    </row>
    <row r="16" spans="1:5" x14ac:dyDescent="0.25">
      <c r="C16" t="str">
        <f>IF(B16="", "", SUM($B$4:B16))</f>
        <v/>
      </c>
      <c r="E16" t="str">
        <f>IF(AND(B16="", D16=""), "", N(LOOKUP(2, 1/($E$3:E15&lt;&gt;""), $E$3:E15)) + B16 - D16)</f>
        <v/>
      </c>
    </row>
    <row r="17" spans="3:5" x14ac:dyDescent="0.25">
      <c r="C17" t="str">
        <f>IF(B17="", "", SUM($B$4:B17))</f>
        <v/>
      </c>
      <c r="E17" t="str">
        <f>IF(AND(B17="", D17=""), "", N(LOOKUP(2, 1/($E$3:E16&lt;&gt;""), $E$3:E16)) + B17 - D17)</f>
        <v/>
      </c>
    </row>
    <row r="18" spans="3:5" x14ac:dyDescent="0.25">
      <c r="C18" t="str">
        <f>IF(B18="", "", SUM($B$4:B18))</f>
        <v/>
      </c>
      <c r="E18" t="str">
        <f>IF(AND(B18="", D18=""), "", N(LOOKUP(2, 1/($E$3:E17&lt;&gt;""), $E$3:E17)) + B18 - D18)</f>
        <v/>
      </c>
    </row>
    <row r="19" spans="3:5" x14ac:dyDescent="0.25">
      <c r="C19" t="str">
        <f>IF(B19="", "", SUM($B$4:B19))</f>
        <v/>
      </c>
      <c r="E19" t="str">
        <f>IF(AND(B19="", D19=""), "", N(LOOKUP(2, 1/($E$3:E18&lt;&gt;""), $E$3:E18)) + B19 - D19)</f>
        <v/>
      </c>
    </row>
    <row r="20" spans="3:5" x14ac:dyDescent="0.25">
      <c r="C20" t="str">
        <f>IF(B20="", "", SUM($B$4:B20))</f>
        <v/>
      </c>
      <c r="E20" t="str">
        <f>IF(AND(B20="", D20=""), "", N(LOOKUP(2, 1/($E$3:E19&lt;&gt;""), $E$3:E19)) + B20 - D20)</f>
        <v/>
      </c>
    </row>
    <row r="21" spans="3:5" x14ac:dyDescent="0.25">
      <c r="C21" t="str">
        <f>IF(B21="", "", SUM($B$4:B21))</f>
        <v/>
      </c>
      <c r="E21" t="str">
        <f>IF(AND(B21="", D21=""), "", N(LOOKUP(2, 1/($E$3:E20&lt;&gt;""), $E$3:E20)) + B21 - D21)</f>
        <v/>
      </c>
    </row>
    <row r="22" spans="3:5" x14ac:dyDescent="0.25">
      <c r="C22" t="str">
        <f>IF(B22="", "", SUM($B$4:B22))</f>
        <v/>
      </c>
      <c r="E22" t="str">
        <f>IF(AND(B22="", D22=""), "", N(LOOKUP(2, 1/($E$3:E21&lt;&gt;""), $E$3:E21)) + B22 - D22)</f>
        <v/>
      </c>
    </row>
    <row r="23" spans="3:5" x14ac:dyDescent="0.25">
      <c r="C23" t="str">
        <f>IF(B23="", "", SUM($B$4:B23))</f>
        <v/>
      </c>
      <c r="E23" t="str">
        <f>IF(AND(B23="", D23=""), "", N(LOOKUP(2, 1/($E$3:E22&lt;&gt;""), $E$3:E22)) + B23 - D23)</f>
        <v/>
      </c>
    </row>
    <row r="24" spans="3:5" x14ac:dyDescent="0.25">
      <c r="C24" t="str">
        <f>IF(B24="", "", SUM($B$4:B24))</f>
        <v/>
      </c>
      <c r="E24" t="str">
        <f>IF(AND(B24="", D24=""), "", N(LOOKUP(2, 1/($E$3:E23&lt;&gt;""), $E$3:E23)) + B24 - D24)</f>
        <v/>
      </c>
    </row>
    <row r="25" spans="3:5" x14ac:dyDescent="0.25">
      <c r="C25" t="str">
        <f>IF(B25="", "", SUM($B$4:B25))</f>
        <v/>
      </c>
      <c r="E25" t="str">
        <f>IF(AND(B25="", D25=""), "", N(LOOKUP(2, 1/($E$3:E24&lt;&gt;""), $E$3:E24)) + B25 - D25)</f>
        <v/>
      </c>
    </row>
    <row r="26" spans="3:5" x14ac:dyDescent="0.25">
      <c r="C26" t="str">
        <f>IF(B26="", "", SUM($B$4:B26))</f>
        <v/>
      </c>
      <c r="E26" t="str">
        <f>IF(AND(B26="", D26=""), "", N(LOOKUP(2, 1/($E$3:E25&lt;&gt;""), $E$3:E25)) + B26 - D26)</f>
        <v/>
      </c>
    </row>
    <row r="27" spans="3:5" x14ac:dyDescent="0.25">
      <c r="C27" t="str">
        <f>IF(B27="", "", SUM($B$4:B27))</f>
        <v/>
      </c>
      <c r="E27" t="str">
        <f>IF(AND(B27="", D27=""), "", N(LOOKUP(2, 1/($E$3:E26&lt;&gt;""), $E$3:E26)) + B27 - D27)</f>
        <v/>
      </c>
    </row>
    <row r="28" spans="3:5" x14ac:dyDescent="0.25">
      <c r="C28" t="str">
        <f>IF(B28="", "", SUM($B$4:B28))</f>
        <v/>
      </c>
      <c r="E28" t="str">
        <f>IF(AND(B28="", D28=""), "", N(LOOKUP(2, 1/($E$3:E27&lt;&gt;""), $E$3:E27)) + B28 - D28)</f>
        <v/>
      </c>
    </row>
    <row r="29" spans="3:5" x14ac:dyDescent="0.25">
      <c r="C29" t="str">
        <f>IF(B29="", "", SUM($B$4:B29))</f>
        <v/>
      </c>
      <c r="E29" t="str">
        <f>IF(AND(B29="", D29=""), "", N(LOOKUP(2, 1/($E$3:E28&lt;&gt;""), $E$3:E28)) + B29 - D29)</f>
        <v/>
      </c>
    </row>
    <row r="30" spans="3:5" x14ac:dyDescent="0.25">
      <c r="C30" t="str">
        <f>IF(B30="", "", SUM($B$4:B30))</f>
        <v/>
      </c>
      <c r="E30" t="str">
        <f>IF(AND(B30="", D30=""), "", N(LOOKUP(2, 1/($E$3:E29&lt;&gt;""), $E$3:E29)) + B30 - D30)</f>
        <v/>
      </c>
    </row>
    <row r="31" spans="3:5" x14ac:dyDescent="0.25">
      <c r="C31" t="str">
        <f>IF(B31="", "", SUM($B$4:B31))</f>
        <v/>
      </c>
      <c r="E31" t="str">
        <f>IF(AND(B31="", D31=""), "", N(LOOKUP(2, 1/($E$3:E30&lt;&gt;""), $E$3:E30)) + B31 - D31)</f>
        <v/>
      </c>
    </row>
    <row r="32" spans="3:5" x14ac:dyDescent="0.25">
      <c r="C32" t="str">
        <f>IF(B32="", "", SUM($B$4:B32))</f>
        <v/>
      </c>
      <c r="E32" t="str">
        <f>IF(AND(B32="", D32=""), "", N(LOOKUP(2, 1/($E$3:E31&lt;&gt;""), $E$3:E31)) + B32 - D32)</f>
        <v/>
      </c>
    </row>
    <row r="33" spans="3:5" x14ac:dyDescent="0.25">
      <c r="C33" t="str">
        <f>IF(B33="", "", SUM($B$4:B33))</f>
        <v/>
      </c>
      <c r="E33" t="str">
        <f>IF(AND(B33="", D33=""), "", N(LOOKUP(2, 1/($E$3:E32&lt;&gt;""), $E$3:E32)) + B33 - D33)</f>
        <v/>
      </c>
    </row>
    <row r="34" spans="3:5" x14ac:dyDescent="0.25">
      <c r="C34" t="str">
        <f>IF(B34="", "", SUM($B$4:B34))</f>
        <v/>
      </c>
      <c r="E34" t="str">
        <f>IF(AND(B34="", D34=""), "", N(LOOKUP(2, 1/($E$3:E33&lt;&gt;""), $E$3:E33)) + B34 - D34)</f>
        <v/>
      </c>
    </row>
    <row r="35" spans="3:5" x14ac:dyDescent="0.25">
      <c r="C35" t="str">
        <f>IF(B35="", "", SUM($B$4:B35))</f>
        <v/>
      </c>
      <c r="E35" t="str">
        <f>IF(AND(B35="", D35=""), "", N(LOOKUP(2, 1/($E$3:E34&lt;&gt;""), $E$3:E34)) + B35 - D35)</f>
        <v/>
      </c>
    </row>
    <row r="36" spans="3:5" x14ac:dyDescent="0.25">
      <c r="C36" t="str">
        <f>IF(B36="", "", SUM($B$4:B36))</f>
        <v/>
      </c>
      <c r="E36" t="str">
        <f>IF(AND(B36="", D36=""), "", N(LOOKUP(2, 1/($E$3:E35&lt;&gt;""), $E$3:E35)) + B36 - D36)</f>
        <v/>
      </c>
    </row>
    <row r="37" spans="3:5" x14ac:dyDescent="0.25">
      <c r="C37" t="str">
        <f>IF(B37="", "", SUM($B$4:B37))</f>
        <v/>
      </c>
      <c r="E37" t="str">
        <f>IF(AND(B37="", D37=""), "", N(LOOKUP(2, 1/($E$3:E36&lt;&gt;""), $E$3:E36)) + B37 - D37)</f>
        <v/>
      </c>
    </row>
    <row r="38" spans="3:5" x14ac:dyDescent="0.25">
      <c r="C38" t="str">
        <f>IF(B38="", "", SUM($B$4:B38))</f>
        <v/>
      </c>
      <c r="E38" t="str">
        <f>IF(AND(B38="", D38=""), "", N(LOOKUP(2, 1/($E$3:E37&lt;&gt;""), $E$3:E37)) + B38 - D38)</f>
        <v/>
      </c>
    </row>
    <row r="39" spans="3:5" x14ac:dyDescent="0.25">
      <c r="C39" t="str">
        <f>IF(B39="", "", SUM($B$4:B39))</f>
        <v/>
      </c>
      <c r="E39" t="str">
        <f>IF(AND(B39="", D39=""), "", N(LOOKUP(2, 1/($E$3:E38&lt;&gt;""), $E$3:E38)) + B39 - D39)</f>
        <v/>
      </c>
    </row>
    <row r="40" spans="3:5" x14ac:dyDescent="0.25">
      <c r="C40" t="str">
        <f>IF(B40="", "", SUM($B$4:B40))</f>
        <v/>
      </c>
      <c r="E40" t="str">
        <f>IF(AND(B40="", D40=""), "", N(LOOKUP(2, 1/($E$3:E39&lt;&gt;""), $E$3:E39)) + B40 - D40)</f>
        <v/>
      </c>
    </row>
    <row r="41" spans="3:5" x14ac:dyDescent="0.25">
      <c r="C41" t="str">
        <f>IF(B41="", "", SUM($B$4:B41))</f>
        <v/>
      </c>
      <c r="E41" t="str">
        <f>IF(AND(B41="", D41=""), "", N(LOOKUP(2, 1/($E$3:E40&lt;&gt;""), $E$3:E40)) + B41 - D41)</f>
        <v/>
      </c>
    </row>
    <row r="42" spans="3:5" x14ac:dyDescent="0.25">
      <c r="C42" t="str">
        <f>IF(B42="", "", SUM($B$4:B42))</f>
        <v/>
      </c>
      <c r="E42" t="str">
        <f>IF(AND(B42="", D42=""), "", N(LOOKUP(2, 1/($E$3:E41&lt;&gt;""), $E$3:E41)) + B42 - D42)</f>
        <v/>
      </c>
    </row>
    <row r="43" spans="3:5" x14ac:dyDescent="0.25">
      <c r="C43" t="str">
        <f>IF(B43="", "", SUM($B$4:B43))</f>
        <v/>
      </c>
      <c r="E43" t="str">
        <f>IF(AND(B43="", D43=""), "", N(LOOKUP(2, 1/($E$3:E42&lt;&gt;""), $E$3:E42)) + B43 - D43)</f>
        <v/>
      </c>
    </row>
    <row r="44" spans="3:5" x14ac:dyDescent="0.25">
      <c r="C44" t="str">
        <f>IF(B44="", "", SUM($B$4:B44))</f>
        <v/>
      </c>
      <c r="E44" t="str">
        <f>IF(AND(B44="", D44=""), "", N(LOOKUP(2, 1/($E$3:E43&lt;&gt;""), $E$3:E43)) + B44 - D44)</f>
        <v/>
      </c>
    </row>
    <row r="45" spans="3:5" x14ac:dyDescent="0.25">
      <c r="C45" t="str">
        <f>IF(B45="", "", SUM($B$4:B45))</f>
        <v/>
      </c>
      <c r="E45" t="str">
        <f>IF(AND(B45="", D45=""), "", N(LOOKUP(2, 1/($E$3:E44&lt;&gt;""), $E$3:E44)) + B45 - D45)</f>
        <v/>
      </c>
    </row>
    <row r="46" spans="3:5" x14ac:dyDescent="0.25">
      <c r="C46" t="str">
        <f>IF(B46="", "", SUM($B$4:B46))</f>
        <v/>
      </c>
      <c r="E46" t="str">
        <f>IF(AND(B46="", D46=""), "", N(LOOKUP(2, 1/($E$3:E45&lt;&gt;""), $E$3:E45)) + B46 - D46)</f>
        <v/>
      </c>
    </row>
    <row r="47" spans="3:5" x14ac:dyDescent="0.25">
      <c r="C47" t="str">
        <f>IF(B47="", "", SUM($B$4:B47))</f>
        <v/>
      </c>
      <c r="E47" t="str">
        <f>IF(AND(B47="", D47=""), "", N(LOOKUP(2, 1/($E$3:E46&lt;&gt;""), $E$3:E46)) + B47 - D47)</f>
        <v/>
      </c>
    </row>
    <row r="48" spans="3:5" x14ac:dyDescent="0.25">
      <c r="C48" t="str">
        <f>IF(B48="", "", SUM($B$4:B48))</f>
        <v/>
      </c>
      <c r="E48" t="str">
        <f>IF(AND(B48="", D48=""), "", N(LOOKUP(2, 1/($E$3:E47&lt;&gt;""), $E$3:E47)) + B48 - D48)</f>
        <v/>
      </c>
    </row>
    <row r="49" spans="3:5" x14ac:dyDescent="0.25">
      <c r="C49" t="str">
        <f>IF(B49="", "", SUM($B$4:B49))</f>
        <v/>
      </c>
      <c r="E49" t="str">
        <f>IF(AND(B49="", D49=""), "", N(LOOKUP(2, 1/($E$3:E48&lt;&gt;""), $E$3:E48)) + B49 - D49)</f>
        <v/>
      </c>
    </row>
    <row r="50" spans="3:5" x14ac:dyDescent="0.25">
      <c r="C50" t="str">
        <f>IF(B50="", "", SUM($B$4:B50))</f>
        <v/>
      </c>
      <c r="E50" t="str">
        <f>IF(AND(B50="", D50=""), "", N(LOOKUP(2, 1/($E$3:E49&lt;&gt;""), $E$3:E49)) + B50 - D50)</f>
        <v/>
      </c>
    </row>
    <row r="51" spans="3:5" x14ac:dyDescent="0.25">
      <c r="C51" t="str">
        <f>IF(B51="", "", SUM($B$4:B51))</f>
        <v/>
      </c>
      <c r="E51" t="str">
        <f>IF(AND(B51="", D51=""), "", N(LOOKUP(2, 1/($E$3:E50&lt;&gt;""), $E$3:E50)) + B51 - D51)</f>
        <v/>
      </c>
    </row>
    <row r="52" spans="3:5" x14ac:dyDescent="0.25">
      <c r="C52" t="str">
        <f>IF(B52="", "", SUM($B$4:B52))</f>
        <v/>
      </c>
      <c r="E52" t="str">
        <f>IF(AND(B52="", D52=""), "", N(LOOKUP(2, 1/($E$3:E51&lt;&gt;""), $E$3:E51)) + B52 - D52)</f>
        <v/>
      </c>
    </row>
    <row r="53" spans="3:5" x14ac:dyDescent="0.25">
      <c r="C53" t="str">
        <f>IF(B53="", "", SUM($B$4:B53))</f>
        <v/>
      </c>
      <c r="E53" t="str">
        <f>IF(AND(B53="", D53=""), "", N(LOOKUP(2, 1/($E$3:E52&lt;&gt;""), $E$3:E52)) + B53 - D53)</f>
        <v/>
      </c>
    </row>
    <row r="54" spans="3:5" x14ac:dyDescent="0.25">
      <c r="C54" t="str">
        <f>IF(B54="", "", SUM($B$4:B54))</f>
        <v/>
      </c>
      <c r="E54" t="str">
        <f>IF(AND(B54="", D54=""), "", N(LOOKUP(2, 1/($E$3:E53&lt;&gt;""), $E$3:E53)) + B54 - D54)</f>
        <v/>
      </c>
    </row>
    <row r="55" spans="3:5" x14ac:dyDescent="0.25">
      <c r="C55" t="str">
        <f>IF(B55="", "", SUM($B$4:B55))</f>
        <v/>
      </c>
      <c r="E55" t="str">
        <f>IF(AND(B55="", D55=""), "", N(LOOKUP(2, 1/($E$3:E54&lt;&gt;""), $E$3:E54)) + B55 - D55)</f>
        <v/>
      </c>
    </row>
    <row r="56" spans="3:5" x14ac:dyDescent="0.25">
      <c r="C56" t="str">
        <f>IF(B56="", "", SUM($B$4:B56))</f>
        <v/>
      </c>
      <c r="E56" t="str">
        <f>IF(AND(B56="", D56=""), "", N(LOOKUP(2, 1/($E$3:E55&lt;&gt;""), $E$3:E55)) + B56 - D56)</f>
        <v/>
      </c>
    </row>
    <row r="57" spans="3:5" x14ac:dyDescent="0.25">
      <c r="C57" t="str">
        <f>IF(B57="", "", SUM($B$4:B57))</f>
        <v/>
      </c>
      <c r="E57" t="str">
        <f>IF(AND(B57="", D57=""), "", N(LOOKUP(2, 1/($E$3:E56&lt;&gt;""), $E$3:E56)) + B57 - D57)</f>
        <v/>
      </c>
    </row>
    <row r="58" spans="3:5" x14ac:dyDescent="0.25">
      <c r="C58" t="str">
        <f>IF(B58="", "", SUM($B$4:B58))</f>
        <v/>
      </c>
      <c r="E58" t="str">
        <f>IF(AND(B58="", D58=""), "", N(LOOKUP(2, 1/($E$3:E57&lt;&gt;""), $E$3:E57)) + B58 - D58)</f>
        <v/>
      </c>
    </row>
    <row r="59" spans="3:5" x14ac:dyDescent="0.25">
      <c r="C59" t="str">
        <f>IF(B59="", "", SUM($B$4:B59))</f>
        <v/>
      </c>
      <c r="E59" t="str">
        <f>IF(AND(B59="", D59=""), "", N(LOOKUP(2, 1/($E$3:E58&lt;&gt;""), $E$3:E58)) + B59 - D59)</f>
        <v/>
      </c>
    </row>
    <row r="60" spans="3:5" x14ac:dyDescent="0.25">
      <c r="C60" t="str">
        <f>IF(B60="", "", SUM($B$4:B60))</f>
        <v/>
      </c>
      <c r="E60" t="str">
        <f>IF(AND(B60="", D60=""), "", N(LOOKUP(2, 1/($E$3:E59&lt;&gt;""), $E$3:E59)) + B60 - D60)</f>
        <v/>
      </c>
    </row>
    <row r="61" spans="3:5" x14ac:dyDescent="0.25">
      <c r="C61" t="str">
        <f>IF(B61="", "", SUM($B$4:B61))</f>
        <v/>
      </c>
      <c r="E61" t="str">
        <f>IF(AND(B61="", D61=""), "", N(LOOKUP(2, 1/($E$3:E60&lt;&gt;""), $E$3:E60)) + B61 - D61)</f>
        <v/>
      </c>
    </row>
    <row r="62" spans="3:5" x14ac:dyDescent="0.25">
      <c r="C62" t="str">
        <f>IF(B62="", "", SUM($B$4:B62))</f>
        <v/>
      </c>
      <c r="E62" t="str">
        <f>IF(AND(B62="", D62=""), "", N(LOOKUP(2, 1/($E$3:E61&lt;&gt;""), $E$3:E61)) + B62 - D62)</f>
        <v/>
      </c>
    </row>
    <row r="63" spans="3:5" x14ac:dyDescent="0.25">
      <c r="C63" t="str">
        <f>IF(B63="", "", SUM($B$4:B63))</f>
        <v/>
      </c>
      <c r="E63" t="str">
        <f>IF(AND(B63="", D63=""), "", N(LOOKUP(2, 1/($E$3:E62&lt;&gt;""), $E$3:E62)) + B63 - D63)</f>
        <v/>
      </c>
    </row>
    <row r="64" spans="3:5" x14ac:dyDescent="0.25">
      <c r="C64" t="str">
        <f>IF(B64="", "", SUM($B$4:B64))</f>
        <v/>
      </c>
      <c r="E64" t="str">
        <f>IF(AND(B64="", D64=""), "", N(LOOKUP(2, 1/($E$3:E63&lt;&gt;""), $E$3:E63)) + B64 - D64)</f>
        <v/>
      </c>
    </row>
    <row r="65" spans="3:5" x14ac:dyDescent="0.25">
      <c r="C65" t="str">
        <f>IF(B65="", "", SUM($B$4:B65))</f>
        <v/>
      </c>
      <c r="E65" t="str">
        <f>IF(AND(B65="", D65=""), "", N(LOOKUP(2, 1/($E$3:E64&lt;&gt;""), $E$3:E64)) + B65 - D65)</f>
        <v/>
      </c>
    </row>
    <row r="66" spans="3:5" x14ac:dyDescent="0.25">
      <c r="C66" t="str">
        <f>IF(B66="", "", SUM($B$4:B66))</f>
        <v/>
      </c>
      <c r="E66" t="str">
        <f>IF(AND(B66="", D66=""), "", N(LOOKUP(2, 1/($E$3:E65&lt;&gt;""), $E$3:E65)) + B66 - D66)</f>
        <v/>
      </c>
    </row>
    <row r="67" spans="3:5" x14ac:dyDescent="0.25">
      <c r="C67" t="str">
        <f>IF(B67="", "", SUM($B$4:B67))</f>
        <v/>
      </c>
      <c r="E67" t="str">
        <f>IF(AND(B67="", D67=""), "", N(LOOKUP(2, 1/($E$3:E66&lt;&gt;""), $E$3:E66)) + B67 - D67)</f>
        <v/>
      </c>
    </row>
    <row r="68" spans="3:5" x14ac:dyDescent="0.25">
      <c r="C68" t="str">
        <f>IF(B68="", "", SUM($B$4:B68))</f>
        <v/>
      </c>
      <c r="E68" t="str">
        <f>IF(AND(B68="", D68=""), "", N(LOOKUP(2, 1/($E$3:E67&lt;&gt;""), $E$3:E67)) + B68 - D68)</f>
        <v/>
      </c>
    </row>
    <row r="69" spans="3:5" x14ac:dyDescent="0.25">
      <c r="C69" t="str">
        <f>IF(B69="", "", SUM($B$4:B69))</f>
        <v/>
      </c>
      <c r="E69" t="str">
        <f>IF(AND(B69="", D69=""), "", N(LOOKUP(2, 1/($E$3:E68&lt;&gt;""), $E$3:E68)) + B69 - D69)</f>
        <v/>
      </c>
    </row>
    <row r="70" spans="3:5" x14ac:dyDescent="0.25">
      <c r="C70" t="str">
        <f>IF(B70="", "", SUM($B$4:B70))</f>
        <v/>
      </c>
      <c r="E70" t="str">
        <f>IF(AND(B70="", D70=""), "", N(LOOKUP(2, 1/($E$3:E69&lt;&gt;""), $E$3:E69)) + B70 - D70)</f>
        <v/>
      </c>
    </row>
    <row r="71" spans="3:5" x14ac:dyDescent="0.25">
      <c r="C71" t="str">
        <f>IF(B71="", "", SUM($B$4:B71))</f>
        <v/>
      </c>
      <c r="E71" t="str">
        <f>IF(AND(B71="", D71=""), "", N(LOOKUP(2, 1/($E$3:E70&lt;&gt;""), $E$3:E70)) + B71 - D71)</f>
        <v/>
      </c>
    </row>
    <row r="72" spans="3:5" x14ac:dyDescent="0.25">
      <c r="C72" t="str">
        <f>IF(B72="", "", SUM($B$4:B72))</f>
        <v/>
      </c>
      <c r="E72" t="str">
        <f>IF(AND(B72="", D72=""), "", N(LOOKUP(2, 1/($E$3:E71&lt;&gt;""), $E$3:E71)) + B72 - D72)</f>
        <v/>
      </c>
    </row>
    <row r="73" spans="3:5" x14ac:dyDescent="0.25">
      <c r="C73" t="str">
        <f>IF(B73="", "", SUM($B$4:B73))</f>
        <v/>
      </c>
      <c r="E73" t="str">
        <f>IF(AND(B73="", D73=""), "", N(LOOKUP(2, 1/($E$3:E72&lt;&gt;""), $E$3:E72)) + B73 - D73)</f>
        <v/>
      </c>
    </row>
    <row r="74" spans="3:5" x14ac:dyDescent="0.25">
      <c r="C74" t="str">
        <f>IF(B74="", "", SUM($B$4:B74))</f>
        <v/>
      </c>
      <c r="E74" t="str">
        <f>IF(AND(B74="", D74=""), "", N(LOOKUP(2, 1/($E$3:E73&lt;&gt;""), $E$3:E73)) + B74 - D74)</f>
        <v/>
      </c>
    </row>
    <row r="75" spans="3:5" x14ac:dyDescent="0.25">
      <c r="C75" t="str">
        <f>IF(B75="", "", SUM($B$4:B75))</f>
        <v/>
      </c>
      <c r="E75" t="str">
        <f>IF(AND(B75="", D75=""), "", N(LOOKUP(2, 1/($E$3:E74&lt;&gt;""), $E$3:E74)) + B75 - D75)</f>
        <v/>
      </c>
    </row>
    <row r="76" spans="3:5" x14ac:dyDescent="0.25">
      <c r="C76" t="str">
        <f>IF(B76="", "", SUM($B$4:B76))</f>
        <v/>
      </c>
      <c r="E76" t="str">
        <f>IF(AND(B76="", D76=""), "", N(LOOKUP(2, 1/($E$3:E75&lt;&gt;""), $E$3:E75)) + B76 - D76)</f>
        <v/>
      </c>
    </row>
    <row r="77" spans="3:5" x14ac:dyDescent="0.25">
      <c r="C77" t="str">
        <f>IF(B77="", "", SUM($B$4:B77))</f>
        <v/>
      </c>
      <c r="E77" t="str">
        <f>IF(AND(B77="", D77=""), "", N(LOOKUP(2, 1/($E$3:E76&lt;&gt;""), $E$3:E76)) + B77 - D77)</f>
        <v/>
      </c>
    </row>
    <row r="78" spans="3:5" x14ac:dyDescent="0.25">
      <c r="C78" t="str">
        <f>IF(B78="", "", SUM($B$4:B78))</f>
        <v/>
      </c>
      <c r="E78" t="str">
        <f>IF(AND(B78="", D78=""), "", N(LOOKUP(2, 1/($E$3:E77&lt;&gt;""), $E$3:E77)) + B78 - D78)</f>
        <v/>
      </c>
    </row>
    <row r="79" spans="3:5" x14ac:dyDescent="0.25">
      <c r="C79" t="str">
        <f>IF(B79="", "", SUM($B$4:B79))</f>
        <v/>
      </c>
      <c r="E79" t="str">
        <f>IF(AND(B79="", D79=""), "", N(LOOKUP(2, 1/($E$3:E78&lt;&gt;""), $E$3:E78)) + B79 - D79)</f>
        <v/>
      </c>
    </row>
    <row r="80" spans="3:5" x14ac:dyDescent="0.25">
      <c r="C80" t="str">
        <f>IF(B80="", "", SUM($B$4:B80))</f>
        <v/>
      </c>
      <c r="E80" t="str">
        <f>IF(AND(B80="", D80=""), "", N(LOOKUP(2, 1/($E$3:E79&lt;&gt;""), $E$3:E79)) + B80 - D80)</f>
        <v/>
      </c>
    </row>
    <row r="81" spans="3:5" x14ac:dyDescent="0.25">
      <c r="C81" t="str">
        <f>IF(B81="", "", SUM($B$4:B81))</f>
        <v/>
      </c>
      <c r="E81" t="str">
        <f>IF(AND(B81="", D81=""), "", N(LOOKUP(2, 1/($E$3:E80&lt;&gt;""), $E$3:E80)) + B81 - D81)</f>
        <v/>
      </c>
    </row>
    <row r="82" spans="3:5" x14ac:dyDescent="0.25">
      <c r="C82" t="str">
        <f>IF(B82="", "", SUM($B$4:B82))</f>
        <v/>
      </c>
      <c r="E82" t="str">
        <f>IF(AND(B82="", D82=""), "", N(LOOKUP(2, 1/($E$3:E81&lt;&gt;""), $E$3:E81)) + B82 - D82)</f>
        <v/>
      </c>
    </row>
    <row r="83" spans="3:5" x14ac:dyDescent="0.25">
      <c r="C83" t="str">
        <f>IF(B83="", "", SUM($B$4:B83))</f>
        <v/>
      </c>
      <c r="E83" t="str">
        <f>IF(AND(B83="", D83=""), "", N(LOOKUP(2, 1/($E$3:E82&lt;&gt;""), $E$3:E82)) + B83 - D83)</f>
        <v/>
      </c>
    </row>
    <row r="84" spans="3:5" x14ac:dyDescent="0.25">
      <c r="C84" t="str">
        <f>IF(B84="", "", SUM($B$4:B84))</f>
        <v/>
      </c>
      <c r="E84" t="str">
        <f>IF(AND(B84="", D84=""), "", N(LOOKUP(2, 1/($E$3:E83&lt;&gt;""), $E$3:E83)) + B84 - D84)</f>
        <v/>
      </c>
    </row>
    <row r="85" spans="3:5" x14ac:dyDescent="0.25">
      <c r="C85" t="str">
        <f>IF(B85="", "", SUM($B$4:B85))</f>
        <v/>
      </c>
      <c r="E85" t="str">
        <f>IF(AND(B85="", D85=""), "", N(LOOKUP(2, 1/($E$3:E84&lt;&gt;""), $E$3:E84)) + B85 - D85)</f>
        <v/>
      </c>
    </row>
    <row r="86" spans="3:5" x14ac:dyDescent="0.25">
      <c r="C86" t="str">
        <f>IF(B86="", "", SUM($B$4:B86))</f>
        <v/>
      </c>
      <c r="E86" t="str">
        <f>IF(AND(B86="", D86=""), "", N(LOOKUP(2, 1/($E$3:E85&lt;&gt;""), $E$3:E85)) + B86 - D86)</f>
        <v/>
      </c>
    </row>
    <row r="87" spans="3:5" x14ac:dyDescent="0.25">
      <c r="C87" t="str">
        <f>IF(B87="", "", SUM($B$4:B87))</f>
        <v/>
      </c>
      <c r="E87" t="str">
        <f>IF(AND(B87="", D87=""), "", N(LOOKUP(2, 1/($E$3:E86&lt;&gt;""), $E$3:E86)) + B87 - D87)</f>
        <v/>
      </c>
    </row>
    <row r="88" spans="3:5" x14ac:dyDescent="0.25">
      <c r="C88" t="str">
        <f>IF(B88="", "", SUM($B$4:B88))</f>
        <v/>
      </c>
      <c r="E88" t="str">
        <f>IF(AND(B88="", D88=""), "", N(LOOKUP(2, 1/($E$3:E87&lt;&gt;""), $E$3:E87)) + B88 - D88)</f>
        <v/>
      </c>
    </row>
    <row r="89" spans="3:5" x14ac:dyDescent="0.25">
      <c r="C89" t="str">
        <f>IF(B89="", "", SUM($B$4:B89))</f>
        <v/>
      </c>
      <c r="E89" t="str">
        <f>IF(AND(B89="", D89=""), "", N(LOOKUP(2, 1/($E$3:E88&lt;&gt;""), $E$3:E88)) + B89 - D89)</f>
        <v/>
      </c>
    </row>
    <row r="90" spans="3:5" x14ac:dyDescent="0.25">
      <c r="C90" t="str">
        <f>IF(B90="", "", SUM($B$4:B90))</f>
        <v/>
      </c>
      <c r="E90" t="str">
        <f>IF(AND(B90="", D90=""), "", N(LOOKUP(2, 1/($E$3:E89&lt;&gt;""), $E$3:E89)) + B90 - D90)</f>
        <v/>
      </c>
    </row>
    <row r="91" spans="3:5" x14ac:dyDescent="0.25">
      <c r="C91" t="str">
        <f>IF(B91="", "", SUM($B$4:B91))</f>
        <v/>
      </c>
      <c r="E91" t="str">
        <f>IF(AND(B91="", D91=""), "", N(LOOKUP(2, 1/($E$3:E90&lt;&gt;""), $E$3:E90)) + B91 - D91)</f>
        <v/>
      </c>
    </row>
    <row r="92" spans="3:5" x14ac:dyDescent="0.25">
      <c r="C92" t="str">
        <f>IF(B92="", "", SUM($B$4:B92))</f>
        <v/>
      </c>
      <c r="E92" t="str">
        <f>IF(AND(B92="", D92=""), "", N(LOOKUP(2, 1/($E$3:E91&lt;&gt;""), $E$3:E91)) + B92 - D92)</f>
        <v/>
      </c>
    </row>
    <row r="93" spans="3:5" x14ac:dyDescent="0.25">
      <c r="C93" t="str">
        <f>IF(B93="", "", SUM($B$4:B93))</f>
        <v/>
      </c>
      <c r="E93" t="str">
        <f>IF(AND(B93="", D93=""), "", N(LOOKUP(2, 1/($E$3:E92&lt;&gt;""), $E$3:E92)) + B93 - D93)</f>
        <v/>
      </c>
    </row>
    <row r="94" spans="3:5" x14ac:dyDescent="0.25">
      <c r="C94" t="str">
        <f>IF(B94="", "", SUM($B$4:B94))</f>
        <v/>
      </c>
      <c r="E94" t="str">
        <f>IF(AND(B94="", D94=""), "", N(LOOKUP(2, 1/($E$3:E93&lt;&gt;""), $E$3:E93)) + B94 - D94)</f>
        <v/>
      </c>
    </row>
    <row r="95" spans="3:5" x14ac:dyDescent="0.25">
      <c r="C95" t="str">
        <f>IF(B95="", "", SUM($B$4:B95))</f>
        <v/>
      </c>
      <c r="E95" t="str">
        <f>IF(AND(B95="", D95=""), "", N(LOOKUP(2, 1/($E$3:E94&lt;&gt;""), $E$3:E94)) + B95 - D95)</f>
        <v/>
      </c>
    </row>
    <row r="96" spans="3:5" x14ac:dyDescent="0.25">
      <c r="C96" t="str">
        <f>IF(B96="", "", SUM($B$4:B96))</f>
        <v/>
      </c>
      <c r="E96" t="str">
        <f>IF(AND(B96="", D96=""), "", N(LOOKUP(2, 1/($E$3:E95&lt;&gt;""), $E$3:E95)) + B96 - D96)</f>
        <v/>
      </c>
    </row>
    <row r="97" spans="3:5" x14ac:dyDescent="0.25">
      <c r="C97" t="str">
        <f>IF(B97="", "", SUM($B$4:B97))</f>
        <v/>
      </c>
      <c r="E97" t="str">
        <f>IF(AND(B97="", D97=""), "", N(LOOKUP(2, 1/($E$3:E96&lt;&gt;""), $E$3:E96)) + B97 - D97)</f>
        <v/>
      </c>
    </row>
    <row r="98" spans="3:5" x14ac:dyDescent="0.25">
      <c r="C98" t="str">
        <f>IF(B98="", "", SUM($B$4:B98))</f>
        <v/>
      </c>
      <c r="E98" t="str">
        <f>IF(AND(B98="", D98=""), "", N(LOOKUP(2, 1/($E$3:E97&lt;&gt;""), $E$3:E97)) + B98 - D98)</f>
        <v/>
      </c>
    </row>
    <row r="99" spans="3:5" x14ac:dyDescent="0.25">
      <c r="C99" t="str">
        <f>IF(B99="", "", SUM($B$4:B99))</f>
        <v/>
      </c>
      <c r="E99" t="str">
        <f>IF(AND(B99="", D99=""), "", N(LOOKUP(2, 1/($E$3:E98&lt;&gt;""), $E$3:E98)) + B99 - D99)</f>
        <v/>
      </c>
    </row>
    <row r="100" spans="3:5" x14ac:dyDescent="0.25">
      <c r="C100" t="str">
        <f>IF(B100="", "", SUM($B$4:B100))</f>
        <v/>
      </c>
      <c r="E100" t="str">
        <f>IF(AND(B100="", D100=""), "", N(LOOKUP(2, 1/($E$3:E99&lt;&gt;""), $E$3:E99)) + B100 - D100)</f>
        <v/>
      </c>
    </row>
    <row r="101" spans="3:5" x14ac:dyDescent="0.25">
      <c r="C101" t="str">
        <f>IF(B101="", "", SUM($B$4:B101))</f>
        <v/>
      </c>
      <c r="E101" t="str">
        <f>IF(AND(B101="", D101=""), "", SUM($B$4:B101) - SUM($D$4:D101))</f>
        <v/>
      </c>
    </row>
    <row r="102" spans="3:5" x14ac:dyDescent="0.25">
      <c r="C102" t="str">
        <f>IF(B102="", "", SUM($B$4:B102))</f>
        <v/>
      </c>
      <c r="E102" t="str">
        <f>IF(AND(B102="", D102=""), "", SUM($B$4:B102) - SUM($D$4:D102))</f>
        <v/>
      </c>
    </row>
  </sheetData>
  <mergeCells count="2">
    <mergeCell ref="A1:A2"/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Home</vt:lpstr>
      <vt:lpstr>Moumita</vt:lpstr>
      <vt:lpstr>Razapur</vt:lpstr>
      <vt:lpstr>Kabir</vt:lpstr>
      <vt:lpstr>Miya</vt:lpstr>
      <vt:lpstr>Rafid</vt:lpstr>
      <vt:lpstr>Fatema</vt:lpstr>
      <vt:lpstr>Badhon</vt:lpstr>
      <vt:lpstr>Alam</vt:lpstr>
      <vt:lpstr>PakAzad</vt:lpstr>
      <vt:lpstr>Himel</vt:lpstr>
      <vt:lpstr>BhaiBhai</vt:lpstr>
      <vt:lpstr>Akon</vt:lpstr>
      <vt:lpstr>Modina</vt:lpstr>
      <vt:lpstr>Digital</vt:lpstr>
      <vt:lpstr>Talukder</vt:lpstr>
      <vt:lpstr>Khan</vt:lpstr>
      <vt:lpstr>Naim</vt:lpstr>
      <vt:lpstr>Hasan</vt:lpstr>
      <vt:lpstr>RafiqZ</vt:lpstr>
      <vt:lpstr>Ebrahim</vt:lpstr>
      <vt:lpstr>RafiqB</vt:lpstr>
      <vt:lpstr>Maisha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Rabiul</cp:lastModifiedBy>
  <dcterms:created xsi:type="dcterms:W3CDTF">2015-06-05T18:17:20Z</dcterms:created>
  <dcterms:modified xsi:type="dcterms:W3CDTF">2026-06-23T14:25:04Z</dcterms:modified>
</cp:coreProperties>
</file>