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F:\Hamko\"/>
    </mc:Choice>
  </mc:AlternateContent>
  <xr:revisionPtr revIDLastSave="0" documentId="13_ncr:1_{C3C2B9A4-2FAF-46AD-BD49-8D8EEB0CD779}" xr6:coauthVersionLast="47" xr6:coauthVersionMax="47" xr10:uidLastSave="{00000000-0000-0000-0000-000000000000}"/>
  <workbookProtection workbookAlgorithmName="SHA-512" workbookHashValue="k+GA7eLT5wXe/cPDZNzoi0H4VBIba1k/FYQwCnH0gDn/fMnycPK1M+kJ6HSIjhqzTbps/xtctwCVYNorGmQ3qg==" workbookSaltValue="pBgLhHC1r9X/YDgRpvRtRA==" workbookSpinCount="100000" lockStructure="1"/>
  <bookViews>
    <workbookView xWindow="-120" yWindow="-120" windowWidth="20730" windowHeight="11310" activeTab="3" xr2:uid="{00000000-000D-0000-FFFF-FFFF00000000}"/>
  </bookViews>
  <sheets>
    <sheet name="Comm" sheetId="7" r:id="rId1"/>
    <sheet name="Sheet1" sheetId="1" r:id="rId2"/>
    <sheet name="Sheet2" sheetId="2" r:id="rId3"/>
    <sheet name="Sheet3" sheetId="5" r:id="rId4"/>
    <sheet name="Sheet4" sheetId="6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5" l="1"/>
  <c r="A2" i="7"/>
  <c r="B13" i="2"/>
  <c r="B12" i="2"/>
  <c r="E8" i="2"/>
  <c r="E9" i="2"/>
  <c r="B10" i="2"/>
  <c r="B11" i="2"/>
  <c r="M7" i="6"/>
  <c r="M6" i="6"/>
  <c r="M3" i="6"/>
  <c r="K3" i="6"/>
  <c r="N6" i="6"/>
  <c r="N8" i="6"/>
  <c r="I3" i="6"/>
  <c r="H3" i="6"/>
  <c r="N7" i="6"/>
  <c r="E3" i="6"/>
  <c r="N2" i="6"/>
  <c r="N4" i="6"/>
  <c r="B3" i="6"/>
  <c r="N3" i="6"/>
  <c r="M2" i="6"/>
  <c r="M7" i="5"/>
  <c r="M6" i="5"/>
  <c r="M3" i="5"/>
  <c r="K3" i="5"/>
  <c r="N6" i="5"/>
  <c r="H3" i="5"/>
  <c r="N7" i="5"/>
  <c r="E3" i="5"/>
  <c r="B3" i="5"/>
  <c r="N3" i="5"/>
  <c r="M2" i="5"/>
  <c r="M7" i="2"/>
  <c r="M6" i="2"/>
  <c r="M3" i="2"/>
  <c r="K3" i="2"/>
  <c r="N6" i="2"/>
  <c r="N8" i="2"/>
  <c r="H3" i="2"/>
  <c r="N7" i="2"/>
  <c r="E3" i="2"/>
  <c r="B3" i="2"/>
  <c r="C3" i="2" s="1"/>
  <c r="N3" i="2"/>
  <c r="M2" i="2"/>
  <c r="M7" i="1"/>
  <c r="M6" i="1"/>
  <c r="M3" i="1"/>
  <c r="M2" i="1"/>
  <c r="N7" i="1"/>
  <c r="N3" i="1"/>
  <c r="B25" i="1"/>
  <c r="H3" i="1"/>
  <c r="B3" i="1"/>
  <c r="E3" i="1"/>
  <c r="C3" i="1"/>
  <c r="B24" i="1"/>
  <c r="B23" i="1"/>
  <c r="B22" i="1"/>
  <c r="K3" i="1"/>
  <c r="N6" i="1"/>
  <c r="M8" i="1"/>
  <c r="B21" i="1"/>
  <c r="B20" i="1"/>
  <c r="B19" i="1"/>
  <c r="B18" i="1"/>
  <c r="E11" i="1"/>
  <c r="B11" i="1"/>
  <c r="B17" i="1"/>
  <c r="B16" i="1"/>
  <c r="B15" i="1"/>
  <c r="B14" i="1"/>
  <c r="M8" i="5"/>
  <c r="C3" i="5"/>
  <c r="M4" i="6"/>
  <c r="M8" i="6"/>
  <c r="C3" i="6"/>
  <c r="N8" i="5"/>
  <c r="N2" i="5"/>
  <c r="N4" i="5"/>
  <c r="I3" i="5"/>
  <c r="M8" i="2"/>
  <c r="I3" i="2"/>
  <c r="N2" i="2"/>
  <c r="N8" i="1"/>
  <c r="I3" i="1"/>
  <c r="N2" i="1"/>
  <c r="M4" i="1"/>
  <c r="N4" i="1"/>
  <c r="N4" i="2" l="1"/>
  <c r="M4" i="2"/>
</calcChain>
</file>

<file path=xl/sharedStrings.xml><?xml version="1.0" encoding="utf-8"?>
<sst xmlns="http://schemas.openxmlformats.org/spreadsheetml/2006/main" count="68" uniqueCount="23">
  <si>
    <t>Party</t>
  </si>
  <si>
    <t>May-June</t>
  </si>
  <si>
    <t>Dealer</t>
  </si>
  <si>
    <t>Overall Summary</t>
  </si>
  <si>
    <t>Market Collection</t>
  </si>
  <si>
    <t>Gap</t>
  </si>
  <si>
    <t>Market Delivery</t>
  </si>
  <si>
    <t>Bank Deposit</t>
  </si>
  <si>
    <t>Product Received</t>
  </si>
  <si>
    <t>Total</t>
  </si>
  <si>
    <t>June-July</t>
  </si>
  <si>
    <t>July-Aug</t>
  </si>
  <si>
    <t>Date</t>
  </si>
  <si>
    <t>Description</t>
  </si>
  <si>
    <t>Amount</t>
  </si>
  <si>
    <t>16Sep-15Oct</t>
  </si>
  <si>
    <t>16Oct-15Nov</t>
  </si>
  <si>
    <t>16Nov-15Dec</t>
  </si>
  <si>
    <t>16Dec-15Jan</t>
  </si>
  <si>
    <t>Eid Bonus</t>
  </si>
  <si>
    <t>16Jan-15Feb</t>
  </si>
  <si>
    <t>16Feb-15Mar</t>
  </si>
  <si>
    <t>16Mar-15Apr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</si>
</sst>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5000445]0"/>
  </numFmts>
  <fonts count="10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Lucida Calligraphy"/>
      <family val="4"/>
    </font>
    <font>
      <b/>
      <sz val="11"/>
      <color theme="1"/>
      <name val="Lucida Calligraphy"/>
      <family val="4"/>
    </font>
    <font>
      <b/>
      <sz val="11"/>
      <color theme="1"/>
      <name val="Aptos Narrow"/>
      <scheme val="minor"/>
    </font>
    <font>
      <b/>
      <sz val="12"/>
      <color theme="1"/>
      <name val="Lucida Console"/>
      <family val="3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Fill="1" applyAlignment="1" applyProtection="1">
      <alignment vertical="center"/>
      <protection locked="0"/>
    </xf>
    <xf numFmtId="0" fontId="0" fillId="0" borderId="0" xfId="0" applyProtection="1"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1" fillId="3" borderId="0" xfId="0" applyFont="1" applyFill="1" applyProtection="1">
      <protection locked="0"/>
    </xf>
    <xf numFmtId="15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0" fontId="4" fillId="5" borderId="1" xfId="0" applyFont="1" applyFill="1" applyBorder="1" applyProtection="1">
      <protection hidden="1"/>
    </xf>
    <xf numFmtId="0" fontId="4" fillId="6" borderId="1" xfId="0" applyFont="1" applyFill="1" applyBorder="1" applyProtection="1">
      <protection hidden="1"/>
    </xf>
    <xf numFmtId="0" fontId="5" fillId="7" borderId="1" xfId="0" applyFont="1" applyFill="1" applyBorder="1" applyProtection="1">
      <protection hidden="1"/>
    </xf>
    <xf numFmtId="0" fontId="1" fillId="3" borderId="0" xfId="0" applyFont="1" applyFill="1" applyProtection="1">
      <protection hidden="1"/>
    </xf>
    <xf numFmtId="0" fontId="3" fillId="2" borderId="0" xfId="0" applyFont="1" applyFill="1" applyProtection="1">
      <protection hidden="1"/>
    </xf>
    <xf numFmtId="1" fontId="4" fillId="5" borderId="1" xfId="0" applyNumberFormat="1" applyFont="1" applyFill="1" applyBorder="1" applyProtection="1">
      <protection hidden="1"/>
    </xf>
    <xf numFmtId="0" fontId="0" fillId="0" borderId="0" xfId="0" applyProtection="1">
      <protection hidden="1"/>
    </xf>
    <xf numFmtId="0" fontId="7" fillId="0" borderId="0" xfId="0" applyFont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15" fontId="9" fillId="0" borderId="7" xfId="0" applyNumberFormat="1" applyFont="1" applyBorder="1"/>
    <xf numFmtId="0" fontId="9" fillId="0" borderId="1" xfId="0" applyFont="1" applyBorder="1"/>
    <xf numFmtId="0" fontId="9" fillId="0" borderId="8" xfId="0" applyFont="1" applyBorder="1"/>
    <xf numFmtId="0" fontId="9" fillId="0" borderId="7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8" fillId="3" borderId="7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6" fillId="4" borderId="2" xfId="0" applyFont="1" applyFill="1" applyBorder="1" applyAlignment="1" applyProtection="1">
      <alignment horizontal="center" vertical="center"/>
      <protection locked="0"/>
    </xf>
    <xf numFmtId="0" fontId="6" fillId="4" borderId="3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E4418-714C-40A7-9970-7559E45B2B89}">
  <dimension ref="A1:C30"/>
  <sheetViews>
    <sheetView workbookViewId="0">
      <selection activeCell="C12" sqref="C12"/>
    </sheetView>
  </sheetViews>
  <sheetFormatPr defaultRowHeight="14.25"/>
  <cols>
    <col min="1" max="1" width="10.5" bestFit="1" customWidth="1"/>
    <col min="2" max="2" width="16.375" bestFit="1" customWidth="1"/>
    <col min="3" max="3" width="9.375" bestFit="1" customWidth="1"/>
  </cols>
  <sheetData>
    <row r="1" spans="1:3" s="15" customFormat="1" ht="18" customHeight="1">
      <c r="A1" s="16" t="s">
        <v>12</v>
      </c>
      <c r="B1" s="17" t="s">
        <v>13</v>
      </c>
      <c r="C1" s="18" t="s">
        <v>14</v>
      </c>
    </row>
    <row r="2" spans="1:3" ht="15.75">
      <c r="A2" s="26">
        <f>SUM(C:C)</f>
        <v>26329</v>
      </c>
      <c r="B2" s="27"/>
      <c r="C2" s="28"/>
    </row>
    <row r="3" spans="1:3" ht="15">
      <c r="A3" s="19">
        <v>46040</v>
      </c>
      <c r="B3" s="20" t="s">
        <v>15</v>
      </c>
      <c r="C3" s="21">
        <v>2085</v>
      </c>
    </row>
    <row r="4" spans="1:3" ht="15">
      <c r="A4" s="19">
        <v>46047</v>
      </c>
      <c r="B4" s="20" t="s">
        <v>16</v>
      </c>
      <c r="C4" s="21">
        <v>1040</v>
      </c>
    </row>
    <row r="5" spans="1:3" ht="15">
      <c r="A5" s="19">
        <v>46063</v>
      </c>
      <c r="B5" s="20" t="s">
        <v>17</v>
      </c>
      <c r="C5" s="21">
        <v>1496</v>
      </c>
    </row>
    <row r="6" spans="1:3" ht="15">
      <c r="A6" s="19">
        <v>46090</v>
      </c>
      <c r="B6" s="20" t="s">
        <v>19</v>
      </c>
      <c r="C6" s="21">
        <v>3500</v>
      </c>
    </row>
    <row r="7" spans="1:3" ht="15">
      <c r="A7" s="19">
        <v>46093</v>
      </c>
      <c r="B7" s="20" t="s">
        <v>18</v>
      </c>
      <c r="C7" s="21">
        <v>1299</v>
      </c>
    </row>
    <row r="8" spans="1:3" ht="15">
      <c r="A8" s="19">
        <v>46121</v>
      </c>
      <c r="B8" s="20" t="s">
        <v>20</v>
      </c>
      <c r="C8" s="21">
        <v>2803</v>
      </c>
    </row>
    <row r="9" spans="1:3" ht="15">
      <c r="A9" s="19">
        <v>46155</v>
      </c>
      <c r="B9" s="20" t="s">
        <v>21</v>
      </c>
      <c r="C9" s="21">
        <v>5744</v>
      </c>
    </row>
    <row r="10" spans="1:3" ht="15">
      <c r="A10" s="19">
        <v>46159</v>
      </c>
      <c r="B10" s="20" t="s">
        <v>19</v>
      </c>
      <c r="C10" s="21">
        <v>4500</v>
      </c>
    </row>
    <row r="11" spans="1:3" ht="15">
      <c r="A11" s="19">
        <v>46188</v>
      </c>
      <c r="B11" s="20" t="s">
        <v>22</v>
      </c>
      <c r="C11" s="21">
        <v>3862</v>
      </c>
    </row>
    <row r="12" spans="1:3" ht="15">
      <c r="A12" s="22"/>
      <c r="B12" s="20"/>
      <c r="C12" s="21"/>
    </row>
    <row r="13" spans="1:3" ht="15">
      <c r="A13" s="22"/>
      <c r="B13" s="20"/>
      <c r="C13" s="21"/>
    </row>
    <row r="14" spans="1:3" ht="15">
      <c r="A14" s="22"/>
      <c r="B14" s="20"/>
      <c r="C14" s="21"/>
    </row>
    <row r="15" spans="1:3" ht="15">
      <c r="A15" s="22"/>
      <c r="B15" s="20"/>
      <c r="C15" s="21"/>
    </row>
    <row r="16" spans="1:3" ht="15">
      <c r="A16" s="22"/>
      <c r="B16" s="20"/>
      <c r="C16" s="21"/>
    </row>
    <row r="17" spans="1:3" ht="15">
      <c r="A17" s="22"/>
      <c r="B17" s="20"/>
      <c r="C17" s="21"/>
    </row>
    <row r="18" spans="1:3" ht="15">
      <c r="A18" s="22"/>
      <c r="B18" s="20"/>
      <c r="C18" s="21"/>
    </row>
    <row r="19" spans="1:3" ht="15">
      <c r="A19" s="22"/>
      <c r="B19" s="20"/>
      <c r="C19" s="21"/>
    </row>
    <row r="20" spans="1:3" ht="15">
      <c r="A20" s="22"/>
      <c r="B20" s="20"/>
      <c r="C20" s="21"/>
    </row>
    <row r="21" spans="1:3" ht="15">
      <c r="A21" s="22"/>
      <c r="B21" s="20"/>
      <c r="C21" s="21"/>
    </row>
    <row r="22" spans="1:3" ht="15">
      <c r="A22" s="22"/>
      <c r="B22" s="20"/>
      <c r="C22" s="21"/>
    </row>
    <row r="23" spans="1:3" ht="15">
      <c r="A23" s="22"/>
      <c r="B23" s="20"/>
      <c r="C23" s="21"/>
    </row>
    <row r="24" spans="1:3" ht="15">
      <c r="A24" s="22"/>
      <c r="B24" s="20"/>
      <c r="C24" s="21"/>
    </row>
    <row r="25" spans="1:3" ht="15">
      <c r="A25" s="22"/>
      <c r="B25" s="20"/>
      <c r="C25" s="21"/>
    </row>
    <row r="26" spans="1:3" ht="15">
      <c r="A26" s="22"/>
      <c r="B26" s="20"/>
      <c r="C26" s="21"/>
    </row>
    <row r="27" spans="1:3" ht="15">
      <c r="A27" s="22"/>
      <c r="B27" s="20"/>
      <c r="C27" s="21"/>
    </row>
    <row r="28" spans="1:3" ht="15">
      <c r="A28" s="22"/>
      <c r="B28" s="20"/>
      <c r="C28" s="21"/>
    </row>
    <row r="29" spans="1:3" ht="15">
      <c r="A29" s="22"/>
      <c r="B29" s="20"/>
      <c r="C29" s="21"/>
    </row>
    <row r="30" spans="1:3" ht="15.75" thickBot="1">
      <c r="A30" s="23"/>
      <c r="B30" s="24"/>
      <c r="C30" s="25"/>
    </row>
  </sheetData>
  <mergeCells count="1">
    <mergeCell ref="A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77035-8002-1344-AA85-CC079CC36D92}">
  <dimension ref="A1:N25"/>
  <sheetViews>
    <sheetView zoomScaleNormal="60" zoomScaleSheetLayoutView="100" workbookViewId="0">
      <selection activeCell="I18" sqref="I18"/>
    </sheetView>
  </sheetViews>
  <sheetFormatPr defaultColWidth="9" defaultRowHeight="14.25"/>
  <cols>
    <col min="1" max="1" width="9.5" style="2" bestFit="1" customWidth="1"/>
    <col min="2" max="3" width="9" style="2"/>
    <col min="4" max="4" width="9.5" style="2" bestFit="1" customWidth="1"/>
    <col min="5" max="5" width="10.375" style="2" bestFit="1" customWidth="1"/>
    <col min="6" max="6" width="9" style="2"/>
    <col min="7" max="7" width="10" style="2" bestFit="1" customWidth="1"/>
    <col min="8" max="8" width="9" style="2"/>
    <col min="9" max="9" width="10.875" style="2" customWidth="1"/>
    <col min="10" max="10" width="10" style="2" bestFit="1" customWidth="1"/>
    <col min="11" max="11" width="8.75" style="2" bestFit="1" customWidth="1"/>
    <col min="12" max="12" width="9" style="2"/>
    <col min="13" max="13" width="21" style="2" customWidth="1"/>
    <col min="14" max="14" width="12.25" style="2" customWidth="1"/>
    <col min="15" max="16384" width="9" style="2"/>
  </cols>
  <sheetData>
    <row r="1" spans="1:14" ht="15">
      <c r="A1" s="32" t="s">
        <v>0</v>
      </c>
      <c r="B1" s="32"/>
      <c r="C1" s="32"/>
      <c r="D1" s="32"/>
      <c r="E1" s="32"/>
      <c r="F1" s="1" t="s">
        <v>1</v>
      </c>
      <c r="G1" s="32" t="s">
        <v>2</v>
      </c>
      <c r="H1" s="32"/>
      <c r="I1" s="32"/>
      <c r="J1" s="32"/>
      <c r="K1" s="32"/>
      <c r="M1" s="29" t="s">
        <v>3</v>
      </c>
      <c r="N1" s="30"/>
    </row>
    <row r="2" spans="1:14" ht="17.25">
      <c r="A2" s="31" t="s">
        <v>4</v>
      </c>
      <c r="B2" s="31"/>
      <c r="C2" s="3" t="s">
        <v>5</v>
      </c>
      <c r="D2" s="31" t="s">
        <v>6</v>
      </c>
      <c r="E2" s="31"/>
      <c r="G2" s="31" t="s">
        <v>7</v>
      </c>
      <c r="H2" s="31"/>
      <c r="I2" s="3" t="s">
        <v>5</v>
      </c>
      <c r="J2" s="31" t="s">
        <v>8</v>
      </c>
      <c r="K2" s="31"/>
      <c r="M2" s="8" t="str">
        <f>D2</f>
        <v>Market Delivery</v>
      </c>
      <c r="N2" s="8">
        <f>E3</f>
        <v>366181</v>
      </c>
    </row>
    <row r="3" spans="1:14" ht="17.25">
      <c r="A3" s="4" t="s">
        <v>9</v>
      </c>
      <c r="B3" s="11">
        <f>SUM(B4:B201)</f>
        <v>450302</v>
      </c>
      <c r="C3" s="12">
        <f>E3-B3</f>
        <v>-84121</v>
      </c>
      <c r="D3" s="4" t="s">
        <v>9</v>
      </c>
      <c r="E3" s="11">
        <f>SUM(E4:E201)</f>
        <v>366181</v>
      </c>
      <c r="G3" s="4" t="s">
        <v>9</v>
      </c>
      <c r="H3" s="11">
        <f>SUM(H4:H201)</f>
        <v>480000</v>
      </c>
      <c r="I3" s="12">
        <f>K3-H3</f>
        <v>-163807.04000000004</v>
      </c>
      <c r="J3" s="4" t="s">
        <v>9</v>
      </c>
      <c r="K3" s="11">
        <f>SUM(K4:K201)</f>
        <v>316192.95999999996</v>
      </c>
      <c r="M3" s="9" t="str">
        <f>A2</f>
        <v>Market Collection</v>
      </c>
      <c r="N3" s="9">
        <f>B3</f>
        <v>450302</v>
      </c>
    </row>
    <row r="4" spans="1:14" ht="17.25">
      <c r="A4" s="5">
        <v>46158</v>
      </c>
      <c r="B4" s="2">
        <v>5200</v>
      </c>
      <c r="D4" s="5">
        <v>46159</v>
      </c>
      <c r="E4" s="2">
        <v>44120</v>
      </c>
      <c r="G4" s="5">
        <v>46146</v>
      </c>
      <c r="H4" s="2">
        <v>100000</v>
      </c>
      <c r="J4" s="5">
        <v>46163</v>
      </c>
      <c r="K4" s="2">
        <v>47706.29</v>
      </c>
      <c r="M4" s="10" t="str">
        <f>IF(N3&gt;N2, "Over Collection", IF(N2&gt;N3, "Over Delivery", "Balanced"))</f>
        <v>Over Collection</v>
      </c>
      <c r="N4" s="10">
        <f>ABS(N2-N3)</f>
        <v>84121</v>
      </c>
    </row>
    <row r="5" spans="1:14">
      <c r="A5" s="6">
        <v>46159</v>
      </c>
      <c r="B5" s="2">
        <v>3680</v>
      </c>
      <c r="D5" s="5">
        <v>46163</v>
      </c>
      <c r="E5" s="2">
        <v>160090</v>
      </c>
      <c r="G5" s="5">
        <v>46149</v>
      </c>
      <c r="H5" s="2">
        <v>80000</v>
      </c>
      <c r="J5" s="5">
        <v>46163</v>
      </c>
      <c r="K5" s="2">
        <v>76444.179999999993</v>
      </c>
    </row>
    <row r="6" spans="1:14" ht="17.25">
      <c r="A6" s="6">
        <v>46160</v>
      </c>
      <c r="B6" s="2">
        <v>7000</v>
      </c>
      <c r="D6" s="5">
        <v>46164</v>
      </c>
      <c r="E6" s="2">
        <v>87752</v>
      </c>
      <c r="G6" s="5">
        <v>46184</v>
      </c>
      <c r="H6" s="2">
        <v>100000</v>
      </c>
      <c r="J6" s="5">
        <v>46163</v>
      </c>
      <c r="K6" s="2">
        <v>32743.68</v>
      </c>
      <c r="M6" s="8" t="str">
        <f>J2</f>
        <v>Product Received</v>
      </c>
      <c r="N6" s="13">
        <f>K3</f>
        <v>316192.95999999996</v>
      </c>
    </row>
    <row r="7" spans="1:14" ht="17.25">
      <c r="A7" s="5">
        <v>46161</v>
      </c>
      <c r="B7" s="2">
        <v>4400</v>
      </c>
      <c r="D7" s="5">
        <v>46165</v>
      </c>
      <c r="E7" s="2">
        <v>16188</v>
      </c>
      <c r="G7" s="5">
        <v>46187</v>
      </c>
      <c r="H7" s="2">
        <v>70000</v>
      </c>
      <c r="J7" s="5">
        <v>46163</v>
      </c>
      <c r="K7" s="2">
        <v>32842.99</v>
      </c>
      <c r="M7" s="9" t="str">
        <f>G2</f>
        <v>Bank Deposit</v>
      </c>
      <c r="N7" s="9">
        <f>H3</f>
        <v>480000</v>
      </c>
    </row>
    <row r="8" spans="1:14" ht="17.25">
      <c r="A8" s="5">
        <v>46162</v>
      </c>
      <c r="B8" s="2">
        <v>10440</v>
      </c>
      <c r="D8" s="5">
        <v>46167</v>
      </c>
      <c r="E8" s="2">
        <v>12073</v>
      </c>
      <c r="G8" s="5">
        <v>46189</v>
      </c>
      <c r="H8" s="2">
        <v>100000</v>
      </c>
      <c r="J8" s="5">
        <v>46163</v>
      </c>
      <c r="K8" s="2">
        <v>16768.53</v>
      </c>
      <c r="M8" s="10" t="str">
        <f>IF(N7&gt;N6, "Over Deposit", IF(N6&gt;N7, "Over Received", "Balanced"))</f>
        <v>Over Deposit</v>
      </c>
      <c r="N8" s="10">
        <f>ROUND(ABS(N6-N7), 0)</f>
        <v>163807</v>
      </c>
    </row>
    <row r="9" spans="1:14">
      <c r="A9" s="5">
        <v>46163</v>
      </c>
      <c r="B9" s="2">
        <v>35962</v>
      </c>
      <c r="D9" s="5">
        <v>46169</v>
      </c>
      <c r="E9" s="2">
        <v>4200</v>
      </c>
      <c r="G9" s="5">
        <v>46189</v>
      </c>
      <c r="H9" s="2">
        <v>30000</v>
      </c>
      <c r="J9" s="5">
        <v>46167</v>
      </c>
      <c r="K9" s="2">
        <v>36562.43</v>
      </c>
    </row>
    <row r="10" spans="1:14">
      <c r="A10" s="5">
        <v>46165</v>
      </c>
      <c r="B10" s="2">
        <v>6000</v>
      </c>
      <c r="D10" s="5">
        <v>46173</v>
      </c>
      <c r="E10" s="2">
        <v>2185</v>
      </c>
      <c r="J10" s="5">
        <v>46177</v>
      </c>
      <c r="K10" s="2">
        <v>73124.86</v>
      </c>
    </row>
    <row r="11" spans="1:14">
      <c r="A11" s="5">
        <v>46166</v>
      </c>
      <c r="B11" s="14">
        <f>19184+8184</f>
        <v>27368</v>
      </c>
      <c r="D11" s="5">
        <v>46179</v>
      </c>
      <c r="E11" s="14">
        <f>20956+4740</f>
        <v>25696</v>
      </c>
    </row>
    <row r="12" spans="1:14">
      <c r="A12" s="5">
        <v>46167</v>
      </c>
      <c r="B12" s="2">
        <v>27730</v>
      </c>
      <c r="D12" s="5">
        <v>46181</v>
      </c>
      <c r="E12" s="2">
        <v>2480</v>
      </c>
      <c r="K12" s="7"/>
    </row>
    <row r="13" spans="1:14">
      <c r="A13" s="5">
        <v>46168</v>
      </c>
      <c r="B13" s="2">
        <v>14000</v>
      </c>
      <c r="D13" s="5">
        <v>46182</v>
      </c>
      <c r="E13" s="2">
        <v>3757</v>
      </c>
      <c r="K13" s="7"/>
    </row>
    <row r="14" spans="1:14">
      <c r="A14" s="5">
        <v>46169</v>
      </c>
      <c r="B14" s="14">
        <f>4200+87700</f>
        <v>91900</v>
      </c>
      <c r="D14" s="5">
        <v>46184</v>
      </c>
      <c r="E14" s="2">
        <v>840</v>
      </c>
    </row>
    <row r="15" spans="1:14">
      <c r="A15" s="5">
        <v>46174</v>
      </c>
      <c r="B15" s="14">
        <f>21370+2100</f>
        <v>23470</v>
      </c>
      <c r="D15" s="5">
        <v>46187</v>
      </c>
      <c r="E15" s="2">
        <v>2500</v>
      </c>
    </row>
    <row r="16" spans="1:14">
      <c r="A16" s="5">
        <v>46175</v>
      </c>
      <c r="B16" s="14">
        <f>3000+1000+2000</f>
        <v>6000</v>
      </c>
      <c r="D16" s="5">
        <v>46188</v>
      </c>
      <c r="E16" s="2">
        <v>4300</v>
      </c>
    </row>
    <row r="17" spans="1:5">
      <c r="A17" s="5">
        <v>46176</v>
      </c>
      <c r="B17" s="14">
        <f>24840+5000</f>
        <v>29840</v>
      </c>
      <c r="E17" s="7"/>
    </row>
    <row r="18" spans="1:5">
      <c r="A18" s="5">
        <v>46179</v>
      </c>
      <c r="B18" s="14">
        <f>2732+3000+4740</f>
        <v>10472</v>
      </c>
      <c r="E18" s="7"/>
    </row>
    <row r="19" spans="1:5">
      <c r="A19" s="5">
        <v>46181</v>
      </c>
      <c r="B19" s="14">
        <f>5000+5000+7000+2000</f>
        <v>19000</v>
      </c>
      <c r="E19" s="7"/>
    </row>
    <row r="20" spans="1:5">
      <c r="A20" s="5">
        <v>46182</v>
      </c>
      <c r="B20" s="14">
        <f>5000+13000+3000</f>
        <v>21000</v>
      </c>
    </row>
    <row r="21" spans="1:5">
      <c r="A21" s="5">
        <v>46183</v>
      </c>
      <c r="B21" s="14">
        <f>20000+2000+3000+2000+5000+3000</f>
        <v>35000</v>
      </c>
    </row>
    <row r="22" spans="1:5">
      <c r="A22" s="5">
        <v>46184</v>
      </c>
      <c r="B22" s="14">
        <f>840+3000+3000</f>
        <v>6840</v>
      </c>
    </row>
    <row r="23" spans="1:5">
      <c r="A23" s="5">
        <v>46186</v>
      </c>
      <c r="B23" s="14">
        <f>20000+1500+2000</f>
        <v>23500</v>
      </c>
    </row>
    <row r="24" spans="1:5">
      <c r="A24" s="5">
        <v>46187</v>
      </c>
      <c r="B24" s="14">
        <f>2500+2000+20000</f>
        <v>24500</v>
      </c>
    </row>
    <row r="25" spans="1:5">
      <c r="A25" s="5">
        <v>46188</v>
      </c>
      <c r="B25" s="14">
        <f>2000+7000+8000</f>
        <v>17000</v>
      </c>
    </row>
  </sheetData>
  <sheetProtection algorithmName="SHA-512" hashValue="l2l5kdudYHgiEsvweor+RmPvhQ/nkHQ9xUvBIhjqEZMphW3xbZkvrAfmRcxnRsCW4b6z/MNeyExxOKPCovAneA==" saltValue="B3JiPJSYyXVeIo8nFMmAUA==" spinCount="100000" sheet="1" objects="1" scenarios="1"/>
  <mergeCells count="7">
    <mergeCell ref="M1:N1"/>
    <mergeCell ref="A2:B2"/>
    <mergeCell ref="D2:E2"/>
    <mergeCell ref="A1:E1"/>
    <mergeCell ref="G2:H2"/>
    <mergeCell ref="J2:K2"/>
    <mergeCell ref="G1:K1"/>
  </mergeCells>
  <pageMargins left="0.7" right="0.7" top="0.75" bottom="0.75" header="0.3" footer="0.3"/>
  <pageSetup paperSize="9" firstPageNumber="0" fitToWidth="0" fitToHeight="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1BA9-9B83-864A-8AA0-5F9B24F2BB33}">
  <dimension ref="A1:N39"/>
  <sheetViews>
    <sheetView zoomScaleNormal="60" zoomScaleSheetLayoutView="100" workbookViewId="0">
      <selection activeCell="I11" sqref="I11"/>
    </sheetView>
  </sheetViews>
  <sheetFormatPr defaultColWidth="9" defaultRowHeight="14.25"/>
  <cols>
    <col min="1" max="1" width="9.5" style="2" bestFit="1" customWidth="1"/>
    <col min="2" max="3" width="9" style="2"/>
    <col min="4" max="4" width="9.5" style="2" bestFit="1" customWidth="1"/>
    <col min="5" max="5" width="10.375" style="2" bestFit="1" customWidth="1"/>
    <col min="6" max="6" width="9" style="2"/>
    <col min="7" max="7" width="10" style="2" bestFit="1" customWidth="1"/>
    <col min="8" max="8" width="9" style="2"/>
    <col min="9" max="9" width="10.875" style="2" customWidth="1"/>
    <col min="10" max="10" width="10" style="2" bestFit="1" customWidth="1"/>
    <col min="11" max="11" width="8.75" style="2" bestFit="1" customWidth="1"/>
    <col min="12" max="12" width="9" style="2"/>
    <col min="13" max="13" width="20.875" style="2" customWidth="1"/>
    <col min="14" max="14" width="11.75" style="2" customWidth="1"/>
    <col min="15" max="16384" width="9" style="2"/>
  </cols>
  <sheetData>
    <row r="1" spans="1:14" ht="15">
      <c r="A1" s="32" t="s">
        <v>0</v>
      </c>
      <c r="B1" s="32"/>
      <c r="C1" s="32"/>
      <c r="D1" s="32"/>
      <c r="E1" s="32"/>
      <c r="F1" s="1" t="s">
        <v>10</v>
      </c>
      <c r="G1" s="32" t="s">
        <v>2</v>
      </c>
      <c r="H1" s="32"/>
      <c r="I1" s="32"/>
      <c r="J1" s="32"/>
      <c r="K1" s="32"/>
      <c r="M1" s="29" t="s">
        <v>3</v>
      </c>
      <c r="N1" s="30"/>
    </row>
    <row r="2" spans="1:14" ht="17.25">
      <c r="A2" s="31" t="s">
        <v>4</v>
      </c>
      <c r="B2" s="31"/>
      <c r="C2" s="3" t="s">
        <v>5</v>
      </c>
      <c r="D2" s="31" t="s">
        <v>6</v>
      </c>
      <c r="E2" s="31"/>
      <c r="G2" s="31" t="s">
        <v>7</v>
      </c>
      <c r="H2" s="31"/>
      <c r="I2" s="3" t="s">
        <v>5</v>
      </c>
      <c r="J2" s="31" t="s">
        <v>8</v>
      </c>
      <c r="K2" s="31"/>
      <c r="M2" s="8" t="str">
        <f>D2</f>
        <v>Market Delivery</v>
      </c>
      <c r="N2" s="8">
        <f>E3</f>
        <v>276359</v>
      </c>
    </row>
    <row r="3" spans="1:14" ht="17.25">
      <c r="A3" s="4" t="s">
        <v>9</v>
      </c>
      <c r="B3" s="11">
        <f>SUM(B4:B201)</f>
        <v>134532</v>
      </c>
      <c r="C3" s="12">
        <f>E3-B3</f>
        <v>141827</v>
      </c>
      <c r="D3" s="4" t="s">
        <v>9</v>
      </c>
      <c r="E3" s="11">
        <f>SUM(E4:E201)</f>
        <v>276359</v>
      </c>
      <c r="G3" s="4" t="s">
        <v>9</v>
      </c>
      <c r="H3" s="11">
        <f>SUM(H4:H201)</f>
        <v>0</v>
      </c>
      <c r="I3" s="12">
        <f>K3-H3</f>
        <v>0</v>
      </c>
      <c r="J3" s="4" t="s">
        <v>9</v>
      </c>
      <c r="K3" s="11">
        <f>SUM(K4:K201)</f>
        <v>0</v>
      </c>
      <c r="M3" s="9" t="str">
        <f>A2</f>
        <v>Market Collection</v>
      </c>
      <c r="N3" s="9">
        <f>B3</f>
        <v>134532</v>
      </c>
    </row>
    <row r="4" spans="1:14" ht="17.25">
      <c r="A4" s="5">
        <v>46189</v>
      </c>
      <c r="B4" s="2">
        <v>9632</v>
      </c>
      <c r="D4" s="5">
        <v>46189</v>
      </c>
      <c r="E4" s="2">
        <v>4042</v>
      </c>
      <c r="G4" s="5"/>
      <c r="J4" s="5">
        <v>46200</v>
      </c>
      <c r="M4" s="10" t="str">
        <f>IF(N3&gt;N2, "Over Collection", IF(N2&gt;N3, "Over Delivery", "Balanced"))</f>
        <v>Over Delivery</v>
      </c>
      <c r="N4" s="10">
        <f>ABS(N2-N3)</f>
        <v>141827</v>
      </c>
    </row>
    <row r="5" spans="1:14">
      <c r="A5" s="5">
        <v>46190</v>
      </c>
      <c r="B5" s="2">
        <v>16000</v>
      </c>
      <c r="D5" s="5">
        <v>46190</v>
      </c>
      <c r="E5" s="2">
        <v>10455</v>
      </c>
      <c r="G5" s="5"/>
      <c r="J5" s="5"/>
    </row>
    <row r="6" spans="1:14" ht="17.25">
      <c r="A6" s="5">
        <v>46191</v>
      </c>
      <c r="B6" s="2">
        <v>9000</v>
      </c>
      <c r="D6" s="5">
        <v>46191</v>
      </c>
      <c r="E6" s="2">
        <v>39856</v>
      </c>
      <c r="G6" s="5"/>
      <c r="J6" s="5"/>
      <c r="M6" s="8" t="str">
        <f>J2</f>
        <v>Product Received</v>
      </c>
      <c r="N6" s="13">
        <f>K3</f>
        <v>0</v>
      </c>
    </row>
    <row r="7" spans="1:14" ht="17.25">
      <c r="A7" s="6">
        <v>46192</v>
      </c>
      <c r="B7" s="2">
        <v>3400</v>
      </c>
      <c r="D7" s="5">
        <v>46192</v>
      </c>
      <c r="E7" s="2">
        <v>3400</v>
      </c>
      <c r="G7" s="5"/>
      <c r="J7" s="5"/>
      <c r="M7" s="9" t="str">
        <f>G2</f>
        <v>Bank Deposit</v>
      </c>
      <c r="N7" s="9">
        <f>H3</f>
        <v>0</v>
      </c>
    </row>
    <row r="8" spans="1:14" ht="17.25">
      <c r="A8" s="6">
        <v>46193</v>
      </c>
      <c r="D8" s="5">
        <v>46194</v>
      </c>
      <c r="E8" s="2">
        <f>3060+9460+4200+18800+23080</f>
        <v>58600</v>
      </c>
      <c r="G8" s="5"/>
      <c r="J8" s="5"/>
      <c r="M8" s="10" t="str">
        <f>IF(N7&gt;N6, "Over Deposit", IF(N6&gt;N7, "Over Received", "Balanced"))</f>
        <v>Balanced</v>
      </c>
      <c r="N8" s="10">
        <f>ROUND(ABS(N6-N7), 0)</f>
        <v>0</v>
      </c>
    </row>
    <row r="9" spans="1:14">
      <c r="A9" s="6">
        <v>46194</v>
      </c>
      <c r="B9" s="2">
        <v>1300</v>
      </c>
      <c r="D9" s="5">
        <v>46195</v>
      </c>
      <c r="E9" s="2">
        <f>20560+40860+17428+62241</f>
        <v>141089</v>
      </c>
      <c r="G9" s="5"/>
      <c r="J9" s="5"/>
    </row>
    <row r="10" spans="1:14">
      <c r="A10" s="6">
        <v>46195</v>
      </c>
      <c r="B10" s="2">
        <f>10000+2000+8000</f>
        <v>20000</v>
      </c>
      <c r="D10" s="5">
        <v>46196</v>
      </c>
      <c r="E10" s="2">
        <v>7072</v>
      </c>
      <c r="J10" s="5"/>
    </row>
    <row r="11" spans="1:14">
      <c r="A11" s="6">
        <v>46196</v>
      </c>
      <c r="B11" s="2">
        <f>10000+1500</f>
        <v>11500</v>
      </c>
      <c r="D11" s="5">
        <v>46197</v>
      </c>
      <c r="E11" s="2">
        <v>6945</v>
      </c>
    </row>
    <row r="12" spans="1:14">
      <c r="A12" s="6">
        <v>46197</v>
      </c>
      <c r="B12" s="2">
        <f>2000+2000+2000+1700</f>
        <v>7700</v>
      </c>
      <c r="D12" s="5">
        <v>46200</v>
      </c>
      <c r="E12" s="2">
        <v>4900</v>
      </c>
      <c r="K12" s="7"/>
    </row>
    <row r="13" spans="1:14">
      <c r="A13" s="6">
        <v>46198</v>
      </c>
      <c r="B13" s="2">
        <f>20000+4000</f>
        <v>24000</v>
      </c>
      <c r="D13" s="5"/>
      <c r="K13" s="7"/>
    </row>
    <row r="14" spans="1:14">
      <c r="A14" s="5">
        <v>46200</v>
      </c>
      <c r="B14" s="2">
        <v>2000</v>
      </c>
      <c r="D14" s="5"/>
    </row>
    <row r="15" spans="1:14">
      <c r="A15" s="6"/>
      <c r="D15" s="5"/>
    </row>
    <row r="16" spans="1:14">
      <c r="A16" s="6"/>
      <c r="D16" s="5"/>
    </row>
    <row r="17" spans="1:5">
      <c r="A17" s="6"/>
      <c r="E17" s="7"/>
    </row>
    <row r="18" spans="1:5">
      <c r="A18" s="6"/>
      <c r="E18" s="7"/>
    </row>
    <row r="19" spans="1:5">
      <c r="A19" s="6"/>
      <c r="E19" s="7"/>
    </row>
    <row r="20" spans="1:5">
      <c r="A20" s="6"/>
    </row>
    <row r="21" spans="1:5">
      <c r="A21" s="6"/>
    </row>
    <row r="22" spans="1:5">
      <c r="A22" s="5"/>
    </row>
    <row r="23" spans="1:5">
      <c r="A23" s="5"/>
    </row>
    <row r="24" spans="1:5">
      <c r="A24" s="5"/>
    </row>
    <row r="25" spans="1:5">
      <c r="A25" s="5"/>
    </row>
    <row r="39" spans="2:2">
      <c r="B39" s="2">
        <v>30000</v>
      </c>
    </row>
  </sheetData>
  <sheetProtection algorithmName="SHA-512" hashValue="k8mHRZ0Pu2U/2QOOrTlnKrWEeSyzmqicet95H3mceJoy5DOtFHUq6sLMaTm5w5MIBlI5hKBbFq7wqGh4ktjQJQ==" saltValue="v+Dc62Riiyffjw8BEI8g5A==" spinCount="100000" sheet="1" objects="1" scenarios="1"/>
  <mergeCells count="7">
    <mergeCell ref="M1:N1"/>
    <mergeCell ref="A1:E1"/>
    <mergeCell ref="G1:K1"/>
    <mergeCell ref="A2:B2"/>
    <mergeCell ref="D2:E2"/>
    <mergeCell ref="G2:H2"/>
    <mergeCell ref="J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1DB6F-1A66-4689-AE18-25F13F6D527E}">
  <dimension ref="A1:N35"/>
  <sheetViews>
    <sheetView tabSelected="1" workbookViewId="0">
      <selection activeCell="J11" sqref="J11"/>
    </sheetView>
  </sheetViews>
  <sheetFormatPr defaultColWidth="9" defaultRowHeight="14.25"/>
  <cols>
    <col min="1" max="1" width="9.5" style="2" bestFit="1" customWidth="1"/>
    <col min="2" max="3" width="9" style="2"/>
    <col min="4" max="4" width="9.5" style="2" bestFit="1" customWidth="1"/>
    <col min="5" max="5" width="10.375" style="2" bestFit="1" customWidth="1"/>
    <col min="6" max="6" width="9" style="2"/>
    <col min="7" max="7" width="10" style="2" bestFit="1" customWidth="1"/>
    <col min="8" max="8" width="9" style="2"/>
    <col min="9" max="9" width="10.875" style="2" customWidth="1"/>
    <col min="10" max="10" width="10" style="2" bestFit="1" customWidth="1"/>
    <col min="11" max="11" width="8.75" style="2" bestFit="1" customWidth="1"/>
    <col min="12" max="12" width="9" style="2"/>
    <col min="13" max="13" width="20.75" style="2" customWidth="1"/>
    <col min="14" max="14" width="10.625" style="2" customWidth="1"/>
    <col min="15" max="16384" width="9" style="2"/>
  </cols>
  <sheetData>
    <row r="1" spans="1:14" ht="15">
      <c r="A1" s="32" t="s">
        <v>0</v>
      </c>
      <c r="B1" s="32"/>
      <c r="C1" s="32"/>
      <c r="D1" s="32"/>
      <c r="E1" s="32"/>
      <c r="F1" s="1" t="s">
        <v>11</v>
      </c>
      <c r="G1" s="32" t="s">
        <v>2</v>
      </c>
      <c r="H1" s="32"/>
      <c r="I1" s="32"/>
      <c r="J1" s="32"/>
      <c r="K1" s="32"/>
      <c r="M1" s="29" t="s">
        <v>3</v>
      </c>
      <c r="N1" s="30"/>
    </row>
    <row r="2" spans="1:14" ht="17.25">
      <c r="A2" s="31" t="s">
        <v>4</v>
      </c>
      <c r="B2" s="31"/>
      <c r="C2" s="3" t="s">
        <v>5</v>
      </c>
      <c r="D2" s="31" t="s">
        <v>6</v>
      </c>
      <c r="E2" s="31"/>
      <c r="G2" s="31" t="s">
        <v>7</v>
      </c>
      <c r="H2" s="31"/>
      <c r="I2" s="3" t="s">
        <v>5</v>
      </c>
      <c r="J2" s="31" t="s">
        <v>8</v>
      </c>
      <c r="K2" s="31"/>
      <c r="M2" s="8" t="str">
        <f>D2</f>
        <v>Market Delivery</v>
      </c>
      <c r="N2" s="8">
        <f>E3</f>
        <v>0</v>
      </c>
    </row>
    <row r="3" spans="1:14" ht="17.25">
      <c r="A3" s="4" t="s">
        <v>9</v>
      </c>
      <c r="B3" s="11">
        <f>SUM(B4:B201)</f>
        <v>0</v>
      </c>
      <c r="C3" s="12">
        <f>E3-B3</f>
        <v>0</v>
      </c>
      <c r="D3" s="4" t="s">
        <v>9</v>
      </c>
      <c r="E3" s="11">
        <f>SUM(E4:E201)</f>
        <v>0</v>
      </c>
      <c r="G3" s="4" t="s">
        <v>9</v>
      </c>
      <c r="H3" s="11">
        <f>SUM(H4:H201)</f>
        <v>0</v>
      </c>
      <c r="I3" s="12">
        <f>K3-H3</f>
        <v>0</v>
      </c>
      <c r="J3" s="4" t="s">
        <v>9</v>
      </c>
      <c r="K3" s="11">
        <f>SUM(K4:K201)</f>
        <v>0</v>
      </c>
      <c r="M3" s="9" t="str">
        <f>A2</f>
        <v>Market Collection</v>
      </c>
      <c r="N3" s="9">
        <f>B3</f>
        <v>0</v>
      </c>
    </row>
    <row r="4" spans="1:14" ht="17.25">
      <c r="A4" s="5">
        <v>46219</v>
      </c>
      <c r="D4" s="5">
        <v>46219</v>
      </c>
      <c r="G4" s="5"/>
      <c r="J4" s="5"/>
      <c r="M4" s="10" t="str">
        <f>IF(N3&gt;N2, "Over Collection", IF(N2&gt;N3, "Over Delivery", "Balanced"))</f>
        <v>Balanced</v>
      </c>
      <c r="N4" s="10">
        <f>ABS(N2-N3)</f>
        <v>0</v>
      </c>
    </row>
    <row r="5" spans="1:14">
      <c r="A5" s="5">
        <v>46220</v>
      </c>
      <c r="D5" s="5">
        <v>46220</v>
      </c>
      <c r="G5" s="5"/>
      <c r="J5" s="5"/>
    </row>
    <row r="6" spans="1:14" ht="17.25">
      <c r="A6" s="5">
        <v>46221</v>
      </c>
      <c r="D6" s="5">
        <v>46221</v>
      </c>
      <c r="G6" s="5"/>
      <c r="J6" s="5"/>
      <c r="M6" s="8" t="str">
        <f>J2</f>
        <v>Product Received</v>
      </c>
      <c r="N6" s="13">
        <f>K3</f>
        <v>0</v>
      </c>
    </row>
    <row r="7" spans="1:14" ht="17.25">
      <c r="A7" s="5">
        <v>46222</v>
      </c>
      <c r="D7" s="5">
        <v>46222</v>
      </c>
      <c r="G7" s="5"/>
      <c r="J7" s="5"/>
      <c r="M7" s="9" t="str">
        <f>G2</f>
        <v>Bank Deposit</v>
      </c>
      <c r="N7" s="9">
        <f>H3</f>
        <v>0</v>
      </c>
    </row>
    <row r="8" spans="1:14" ht="17.25">
      <c r="A8" s="5">
        <v>46223</v>
      </c>
      <c r="D8" s="5">
        <v>46223</v>
      </c>
      <c r="G8" s="5"/>
      <c r="J8" s="5"/>
      <c r="M8" s="10" t="str">
        <f>IF(N7&gt;N6, "Over Deposit", IF(N6&gt;N7, "Over Received", "Balanced"))</f>
        <v>Balanced</v>
      </c>
      <c r="N8" s="10">
        <f>ROUND(ABS(N6-N7), 0)</f>
        <v>0</v>
      </c>
    </row>
    <row r="9" spans="1:14">
      <c r="A9" s="5">
        <v>46224</v>
      </c>
      <c r="D9" s="5">
        <v>46224</v>
      </c>
      <c r="G9" s="5"/>
      <c r="J9" s="5"/>
    </row>
    <row r="10" spans="1:14">
      <c r="A10" s="5">
        <v>46225</v>
      </c>
      <c r="D10" s="5">
        <v>46225</v>
      </c>
      <c r="J10" s="5"/>
    </row>
    <row r="11" spans="1:14">
      <c r="A11" s="5">
        <v>46226</v>
      </c>
      <c r="D11" s="5">
        <v>46226</v>
      </c>
    </row>
    <row r="12" spans="1:14">
      <c r="A12" s="5">
        <v>46227</v>
      </c>
      <c r="D12" s="5">
        <v>46227</v>
      </c>
      <c r="K12" s="7"/>
    </row>
    <row r="13" spans="1:14">
      <c r="A13" s="5">
        <v>46228</v>
      </c>
      <c r="D13" s="5">
        <v>46228</v>
      </c>
      <c r="K13" s="7"/>
    </row>
    <row r="14" spans="1:14">
      <c r="A14" s="5">
        <v>46229</v>
      </c>
      <c r="D14" s="5">
        <v>46229</v>
      </c>
    </row>
    <row r="15" spans="1:14">
      <c r="A15" s="5">
        <v>46230</v>
      </c>
      <c r="D15" s="5">
        <v>46230</v>
      </c>
    </row>
    <row r="16" spans="1:14">
      <c r="A16" s="5">
        <v>46231</v>
      </c>
      <c r="D16" s="5">
        <v>46231</v>
      </c>
    </row>
    <row r="17" spans="1:5">
      <c r="A17" s="5">
        <v>46232</v>
      </c>
      <c r="D17" s="5">
        <v>46232</v>
      </c>
      <c r="E17" s="7"/>
    </row>
    <row r="18" spans="1:5">
      <c r="A18" s="5">
        <v>46233</v>
      </c>
      <c r="D18" s="5">
        <v>46233</v>
      </c>
      <c r="E18" s="7"/>
    </row>
    <row r="19" spans="1:5">
      <c r="A19" s="5">
        <v>46234</v>
      </c>
      <c r="D19" s="5">
        <v>46234</v>
      </c>
      <c r="E19" s="7"/>
    </row>
    <row r="20" spans="1:5">
      <c r="A20" s="5">
        <v>46235</v>
      </c>
      <c r="D20" s="5">
        <v>46235</v>
      </c>
    </row>
    <row r="21" spans="1:5">
      <c r="A21" s="5">
        <v>46236</v>
      </c>
      <c r="D21" s="5">
        <v>46236</v>
      </c>
    </row>
    <row r="22" spans="1:5">
      <c r="A22" s="5">
        <v>46237</v>
      </c>
      <c r="D22" s="5">
        <v>46237</v>
      </c>
    </row>
    <row r="23" spans="1:5">
      <c r="A23" s="5">
        <v>46238</v>
      </c>
      <c r="D23" s="5">
        <v>46238</v>
      </c>
    </row>
    <row r="24" spans="1:5">
      <c r="A24" s="5">
        <v>46239</v>
      </c>
      <c r="D24" s="5">
        <v>46239</v>
      </c>
    </row>
    <row r="25" spans="1:5">
      <c r="A25" s="5">
        <v>46240</v>
      </c>
      <c r="D25" s="5">
        <v>46240</v>
      </c>
    </row>
    <row r="26" spans="1:5">
      <c r="A26" s="5">
        <v>46241</v>
      </c>
      <c r="D26" s="5">
        <v>46241</v>
      </c>
    </row>
    <row r="27" spans="1:5">
      <c r="A27" s="5">
        <v>46242</v>
      </c>
      <c r="D27" s="5">
        <v>46242</v>
      </c>
    </row>
    <row r="28" spans="1:5">
      <c r="A28" s="5">
        <v>46243</v>
      </c>
      <c r="D28" s="5">
        <v>46243</v>
      </c>
    </row>
    <row r="29" spans="1:5">
      <c r="A29" s="5">
        <v>46244</v>
      </c>
      <c r="D29" s="5">
        <v>46244</v>
      </c>
    </row>
    <row r="30" spans="1:5">
      <c r="A30" s="5">
        <v>46245</v>
      </c>
      <c r="D30" s="5">
        <v>46245</v>
      </c>
    </row>
    <row r="31" spans="1:5">
      <c r="A31" s="5">
        <v>46246</v>
      </c>
      <c r="D31" s="5">
        <v>46246</v>
      </c>
    </row>
    <row r="32" spans="1:5">
      <c r="A32" s="5">
        <v>46247</v>
      </c>
      <c r="D32" s="5">
        <v>46247</v>
      </c>
    </row>
    <row r="33" spans="1:4">
      <c r="A33" s="5">
        <v>46248</v>
      </c>
      <c r="D33" s="5">
        <v>46248</v>
      </c>
    </row>
    <row r="34" spans="1:4">
      <c r="A34" s="5">
        <v>46249</v>
      </c>
      <c r="D34" s="5">
        <v>46249</v>
      </c>
    </row>
    <row r="35" spans="1:4">
      <c r="A35" s="5"/>
    </row>
  </sheetData>
  <sheetProtection algorithmName="SHA-512" hashValue="MqpXqyXcKp/k0y16JctupjTfSIneXPcpbmhwZyAN3KLqR+L71wTHtKmdjV4EpYa3IrEd9DAcltiAYYCIiErKYg==" saltValue="ptPKel8Djwgl7wenmcEWSQ==" spinCount="100000" sheet="1" objects="1" scenarios="1"/>
  <mergeCells count="7">
    <mergeCell ref="A1:E1"/>
    <mergeCell ref="G1:K1"/>
    <mergeCell ref="M1:N1"/>
    <mergeCell ref="A2:B2"/>
    <mergeCell ref="D2:E2"/>
    <mergeCell ref="G2:H2"/>
    <mergeCell ref="J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DE0F1-52F8-4983-B288-4D234D2E1474}">
  <dimension ref="A1:N25"/>
  <sheetViews>
    <sheetView workbookViewId="0">
      <selection activeCell="E11" sqref="E11"/>
    </sheetView>
  </sheetViews>
  <sheetFormatPr defaultColWidth="9" defaultRowHeight="14.25"/>
  <cols>
    <col min="1" max="1" width="9.5" style="2" bestFit="1" customWidth="1"/>
    <col min="2" max="3" width="9" style="2"/>
    <col min="4" max="4" width="9.5" style="2" bestFit="1" customWidth="1"/>
    <col min="5" max="5" width="10.375" style="2" bestFit="1" customWidth="1"/>
    <col min="6" max="6" width="9" style="2"/>
    <col min="7" max="7" width="10" style="2" bestFit="1" customWidth="1"/>
    <col min="8" max="8" width="9" style="2"/>
    <col min="9" max="9" width="10.875" style="2" customWidth="1"/>
    <col min="10" max="10" width="10" style="2" bestFit="1" customWidth="1"/>
    <col min="11" max="11" width="8.75" style="2" bestFit="1" customWidth="1"/>
    <col min="12" max="12" width="9" style="2"/>
    <col min="13" max="13" width="19.125" style="2" bestFit="1" customWidth="1"/>
    <col min="14" max="14" width="9.375" style="2" bestFit="1" customWidth="1"/>
    <col min="15" max="16384" width="9" style="2"/>
  </cols>
  <sheetData>
    <row r="1" spans="1:14" ht="15">
      <c r="A1" s="32" t="s">
        <v>0</v>
      </c>
      <c r="B1" s="32"/>
      <c r="C1" s="32"/>
      <c r="D1" s="32"/>
      <c r="E1" s="32"/>
      <c r="F1" s="1" t="s">
        <v>10</v>
      </c>
      <c r="G1" s="32" t="s">
        <v>2</v>
      </c>
      <c r="H1" s="32"/>
      <c r="I1" s="32"/>
      <c r="J1" s="32"/>
      <c r="K1" s="32"/>
      <c r="M1" s="29" t="s">
        <v>3</v>
      </c>
      <c r="N1" s="30"/>
    </row>
    <row r="2" spans="1:14" ht="17.25">
      <c r="A2" s="31" t="s">
        <v>4</v>
      </c>
      <c r="B2" s="31"/>
      <c r="C2" s="3" t="s">
        <v>5</v>
      </c>
      <c r="D2" s="31" t="s">
        <v>6</v>
      </c>
      <c r="E2" s="31"/>
      <c r="G2" s="31" t="s">
        <v>7</v>
      </c>
      <c r="H2" s="31"/>
      <c r="I2" s="3" t="s">
        <v>5</v>
      </c>
      <c r="J2" s="31" t="s">
        <v>8</v>
      </c>
      <c r="K2" s="31"/>
      <c r="M2" s="8" t="str">
        <f>D2</f>
        <v>Market Delivery</v>
      </c>
      <c r="N2" s="8">
        <f>E3</f>
        <v>0</v>
      </c>
    </row>
    <row r="3" spans="1:14" ht="17.25">
      <c r="A3" s="4" t="s">
        <v>9</v>
      </c>
      <c r="B3" s="11">
        <f>SUM(B4:B201)</f>
        <v>0</v>
      </c>
      <c r="C3" s="12">
        <f>E3-B3</f>
        <v>0</v>
      </c>
      <c r="D3" s="4" t="s">
        <v>9</v>
      </c>
      <c r="E3" s="11">
        <f>SUM(E4:E201)</f>
        <v>0</v>
      </c>
      <c r="G3" s="4" t="s">
        <v>9</v>
      </c>
      <c r="H3" s="11">
        <f>SUM(H4:H201)</f>
        <v>0</v>
      </c>
      <c r="I3" s="12">
        <f>K3-H3</f>
        <v>0</v>
      </c>
      <c r="J3" s="4" t="s">
        <v>9</v>
      </c>
      <c r="K3" s="11">
        <f>SUM(K4:K201)</f>
        <v>0</v>
      </c>
      <c r="M3" s="9" t="str">
        <f>A2</f>
        <v>Market Collection</v>
      </c>
      <c r="N3" s="9">
        <f>B3</f>
        <v>0</v>
      </c>
    </row>
    <row r="4" spans="1:14" ht="17.25">
      <c r="A4" s="5"/>
      <c r="D4" s="5"/>
      <c r="G4" s="5"/>
      <c r="J4" s="5"/>
      <c r="M4" s="10" t="str">
        <f>IF(N3&gt;N2, "Over Collection", IF(N2&gt;N3, "Over Delivery", "Balanced"))</f>
        <v>Balanced</v>
      </c>
      <c r="N4" s="10">
        <f>ABS(N2-N3)</f>
        <v>0</v>
      </c>
    </row>
    <row r="5" spans="1:14">
      <c r="A5" s="6"/>
      <c r="D5" s="5"/>
      <c r="G5" s="5"/>
      <c r="J5" s="5"/>
    </row>
    <row r="6" spans="1:14" ht="17.25">
      <c r="A6" s="6"/>
      <c r="D6" s="5"/>
      <c r="G6" s="5"/>
      <c r="J6" s="5"/>
      <c r="M6" s="8" t="str">
        <f>J2</f>
        <v>Product Received</v>
      </c>
      <c r="N6" s="13">
        <f>K3</f>
        <v>0</v>
      </c>
    </row>
    <row r="7" spans="1:14" ht="17.25">
      <c r="A7" s="5"/>
      <c r="D7" s="5"/>
      <c r="G7" s="5"/>
      <c r="J7" s="5"/>
      <c r="M7" s="9" t="str">
        <f>G2</f>
        <v>Bank Deposit</v>
      </c>
      <c r="N7" s="9">
        <f>H3</f>
        <v>0</v>
      </c>
    </row>
    <row r="8" spans="1:14" ht="17.25">
      <c r="A8" s="5"/>
      <c r="D8" s="5"/>
      <c r="G8" s="5"/>
      <c r="J8" s="5"/>
      <c r="M8" s="10" t="str">
        <f>IF(N7&gt;N6, "Over Deposit", IF(N6&gt;N7, "Over Received", "Balanced"))</f>
        <v>Balanced</v>
      </c>
      <c r="N8" s="10">
        <f>ROUND(ABS(N6-N7), 0)</f>
        <v>0</v>
      </c>
    </row>
    <row r="9" spans="1:14">
      <c r="A9" s="5"/>
      <c r="D9" s="5"/>
      <c r="G9" s="5"/>
      <c r="J9" s="5"/>
    </row>
    <row r="10" spans="1:14">
      <c r="A10" s="5"/>
      <c r="D10" s="5"/>
      <c r="J10" s="5"/>
    </row>
    <row r="11" spans="1:14">
      <c r="A11" s="5"/>
      <c r="D11" s="5"/>
    </row>
    <row r="12" spans="1:14">
      <c r="A12" s="5"/>
      <c r="D12" s="5"/>
      <c r="K12" s="7"/>
    </row>
    <row r="13" spans="1:14">
      <c r="A13" s="5"/>
      <c r="D13" s="5"/>
      <c r="K13" s="7"/>
    </row>
    <row r="14" spans="1:14">
      <c r="A14" s="5"/>
      <c r="D14" s="5"/>
    </row>
    <row r="15" spans="1:14">
      <c r="A15" s="5"/>
      <c r="D15" s="5"/>
    </row>
    <row r="16" spans="1:14">
      <c r="A16" s="5"/>
      <c r="D16" s="5"/>
    </row>
    <row r="17" spans="1:5">
      <c r="A17" s="5"/>
      <c r="E17" s="7"/>
    </row>
    <row r="18" spans="1:5">
      <c r="A18" s="5"/>
      <c r="E18" s="7"/>
    </row>
    <row r="19" spans="1:5">
      <c r="A19" s="5"/>
      <c r="E19" s="7"/>
    </row>
    <row r="20" spans="1:5">
      <c r="A20" s="5"/>
    </row>
    <row r="21" spans="1:5">
      <c r="A21" s="5"/>
    </row>
    <row r="22" spans="1:5">
      <c r="A22" s="5"/>
    </row>
    <row r="23" spans="1:5">
      <c r="A23" s="5"/>
    </row>
    <row r="24" spans="1:5">
      <c r="A24" s="5"/>
    </row>
    <row r="25" spans="1:5">
      <c r="A25" s="5"/>
    </row>
  </sheetData>
  <mergeCells count="7">
    <mergeCell ref="A1:E1"/>
    <mergeCell ref="G1:K1"/>
    <mergeCell ref="M1:N1"/>
    <mergeCell ref="A2:B2"/>
    <mergeCell ref="D2:E2"/>
    <mergeCell ref="G2:H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Comm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Rabiul Islam Sabur</dc:creator>
  <cp:keywords/>
  <dc:description/>
  <cp:lastModifiedBy>Rabiul</cp:lastModifiedBy>
  <cp:revision/>
  <dcterms:created xsi:type="dcterms:W3CDTF">2026-05-23T21:12:31Z</dcterms:created>
  <dcterms:modified xsi:type="dcterms:W3CDTF">2026-06-27T14:06:51Z</dcterms:modified>
  <cp:category/>
  <cp:contentStatus/>
</cp:coreProperties>
</file>