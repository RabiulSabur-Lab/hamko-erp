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Hamko\"/>
    </mc:Choice>
  </mc:AlternateContent>
  <xr:revisionPtr revIDLastSave="0" documentId="13_ncr:1_{D2B7F94F-985A-42A4-8C44-F8E752664AA1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Invoice_Automat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5" i="1" l="1"/>
  <c r="E22" i="1"/>
  <c r="E21" i="1"/>
  <c r="E20" i="1"/>
  <c r="E15" i="1"/>
  <c r="E16" i="1"/>
  <c r="E17" i="1"/>
  <c r="E18" i="1"/>
  <c r="E19" i="1"/>
  <c r="E23" i="1"/>
  <c r="E24" i="1"/>
  <c r="E26" i="1"/>
  <c r="E27" i="1"/>
  <c r="E14" i="1"/>
  <c r="B28" i="1"/>
  <c r="E28" i="1" l="1"/>
  <c r="E29" i="1" l="1"/>
  <c r="E30" i="1" s="1"/>
  <c r="E31" i="1" s="1"/>
  <c r="B32" i="1" l="1"/>
</calcChain>
</file>

<file path=xl/sharedStrings.xml><?xml version="1.0" encoding="utf-8"?>
<sst xmlns="http://schemas.openxmlformats.org/spreadsheetml/2006/main" count="47" uniqueCount="43">
  <si>
    <t>HAMKO INDUSTRIES LTD</t>
  </si>
  <si>
    <t>Bill of: Sales Central-Cookware</t>
  </si>
  <si>
    <t>Invoice No:</t>
  </si>
  <si>
    <t>Date:</t>
  </si>
  <si>
    <t>Party Code:</t>
  </si>
  <si>
    <t>Gate Pass Ref:</t>
  </si>
  <si>
    <t>Party Name:</t>
  </si>
  <si>
    <t>Ref No:</t>
  </si>
  <si>
    <t>D4-05092/26</t>
  </si>
  <si>
    <t>Address:</t>
  </si>
  <si>
    <t>Contact:</t>
  </si>
  <si>
    <t>NID:</t>
  </si>
  <si>
    <t>Note:</t>
  </si>
  <si>
    <t>D4-05092/26 .Van-KMAU-11-0062,Rasel</t>
  </si>
  <si>
    <t>Serial No</t>
  </si>
  <si>
    <t>Description Of Goods</t>
  </si>
  <si>
    <t>Quantity</t>
  </si>
  <si>
    <t>Rate</t>
  </si>
  <si>
    <t>Amount</t>
  </si>
  <si>
    <t>TOTAL:</t>
  </si>
  <si>
    <t>Commission</t>
  </si>
  <si>
    <t>(-)%</t>
  </si>
  <si>
    <t>Final Total:</t>
  </si>
  <si>
    <t>Prepared By:.......</t>
  </si>
  <si>
    <t>Checked BY:........</t>
  </si>
  <si>
    <t>Authorized BY:.......</t>
  </si>
  <si>
    <t>Customer Signature:.....</t>
  </si>
  <si>
    <t>Talukder Brothers</t>
  </si>
  <si>
    <t>Jhalakathi Sadar</t>
  </si>
  <si>
    <t>THPot-14 CM</t>
  </si>
  <si>
    <t>THPot-16 CM</t>
  </si>
  <si>
    <t>THPot-18 CM</t>
  </si>
  <si>
    <t>THPot-20 CM</t>
  </si>
  <si>
    <t>THPot-22 CM</t>
  </si>
  <si>
    <t>Classic Bowl-12 CM</t>
  </si>
  <si>
    <t>Classic Bowl-16 CM</t>
  </si>
  <si>
    <t>Classic Bowl-20 CM</t>
  </si>
  <si>
    <t>Classic Bowl-22 CM</t>
  </si>
  <si>
    <t>Classic Bowl-24 CM</t>
  </si>
  <si>
    <t>Classic Bowl-26 CM</t>
  </si>
  <si>
    <t>Mug-450 ML</t>
  </si>
  <si>
    <t>Mug-550 ML</t>
  </si>
  <si>
    <t>Mug-750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</si>
</sst>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&quot;Pcs&quot;"/>
    <numFmt numFmtId="165" formatCode="00000000000"/>
  </numFmts>
  <fonts count="10" x14ac:knownFonts="1"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b/>
      <sz val="12.5"/>
      <name val="Times New Roman"/>
      <family val="1"/>
    </font>
    <font>
      <sz val="12.5"/>
      <color theme="1"/>
      <name val="Times New Roman"/>
      <family val="1"/>
    </font>
    <font>
      <sz val="12.5"/>
      <name val="Times New Roman"/>
      <family val="1"/>
    </font>
    <font>
      <b/>
      <sz val="12.5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0" borderId="0" xfId="0" applyFont="1" applyFill="1" applyProtection="1">
      <protection locked="0"/>
    </xf>
    <xf numFmtId="0" fontId="3" fillId="0" borderId="0" xfId="0" applyFont="1" applyFill="1" applyBorder="1" applyAlignment="1" applyProtection="1">
      <alignment horizontal="right"/>
      <protection locked="0"/>
    </xf>
    <xf numFmtId="0" fontId="3" fillId="0" borderId="0" xfId="0" applyFont="1" applyFill="1" applyAlignment="1" applyProtection="1">
      <alignment horizontal="right"/>
      <protection locked="0"/>
    </xf>
    <xf numFmtId="0" fontId="5" fillId="0" borderId="0" xfId="0" applyFont="1" applyFill="1" applyProtection="1">
      <protection locked="0"/>
    </xf>
    <xf numFmtId="0" fontId="9" fillId="0" borderId="0" xfId="0" applyFont="1" applyFill="1" applyBorder="1" applyAlignment="1" applyProtection="1">
      <alignment horizontal="left" vertical="top"/>
      <protection locked="0"/>
    </xf>
    <xf numFmtId="0" fontId="3" fillId="0" borderId="1" xfId="0" applyFont="1" applyFill="1" applyBorder="1" applyAlignment="1" applyProtection="1">
      <alignment horizontal="right"/>
      <protection locked="0"/>
    </xf>
    <xf numFmtId="0" fontId="5" fillId="0" borderId="0" xfId="0" applyFont="1" applyFill="1" applyBorder="1" applyProtection="1">
      <protection locked="0"/>
    </xf>
    <xf numFmtId="0" fontId="9" fillId="0" borderId="0" xfId="0" applyFont="1" applyFill="1" applyAlignment="1" applyProtection="1">
      <alignment horizontal="left"/>
      <protection locked="0"/>
    </xf>
    <xf numFmtId="0" fontId="6" fillId="0" borderId="0" xfId="0" applyFont="1" applyFill="1" applyProtection="1">
      <protection locked="0"/>
    </xf>
    <xf numFmtId="0" fontId="5" fillId="0" borderId="0" xfId="0" applyFont="1" applyFill="1" applyBorder="1" applyAlignment="1" applyProtection="1">
      <alignment vertical="top"/>
      <protection locked="0"/>
    </xf>
    <xf numFmtId="0" fontId="9" fillId="0" borderId="0" xfId="0" applyFont="1" applyFill="1" applyAlignment="1" applyProtection="1">
      <alignment horizontal="left" wrapText="1"/>
      <protection locked="0"/>
    </xf>
    <xf numFmtId="0" fontId="9" fillId="0" borderId="0" xfId="0" applyFont="1" applyFill="1" applyProtection="1">
      <protection locked="0"/>
    </xf>
    <xf numFmtId="0" fontId="9" fillId="0" borderId="0" xfId="0" applyFont="1" applyFill="1" applyBorder="1" applyProtection="1">
      <protection locked="0"/>
    </xf>
    <xf numFmtId="0" fontId="4" fillId="0" borderId="0" xfId="0" applyFont="1" applyFill="1" applyBorder="1" applyProtection="1">
      <protection locked="0"/>
    </xf>
    <xf numFmtId="0" fontId="5" fillId="0" borderId="3" xfId="0" applyFont="1" applyFill="1" applyBorder="1" applyAlignment="1" applyProtection="1">
      <alignment horizontal="center" vertical="center"/>
      <protection locked="0"/>
    </xf>
    <xf numFmtId="0" fontId="9" fillId="0" borderId="3" xfId="0" applyFont="1" applyFill="1" applyBorder="1" applyAlignment="1" applyProtection="1">
      <alignment horizontal="center" vertical="center"/>
      <protection locked="0"/>
    </xf>
    <xf numFmtId="0" fontId="9" fillId="0" borderId="3" xfId="0" applyFont="1" applyFill="1" applyBorder="1" applyAlignment="1" applyProtection="1">
      <alignment horizontal="left" vertical="center"/>
      <protection locked="0"/>
    </xf>
    <xf numFmtId="164" fontId="9" fillId="0" borderId="3" xfId="0" applyNumberFormat="1" applyFont="1" applyFill="1" applyBorder="1" applyAlignment="1" applyProtection="1">
      <alignment horizontal="right" vertical="center"/>
      <protection locked="0"/>
    </xf>
    <xf numFmtId="4" fontId="9" fillId="0" borderId="3" xfId="0" applyNumberFormat="1" applyFont="1" applyFill="1" applyBorder="1" applyAlignment="1" applyProtection="1">
      <alignment horizontal="right" vertical="center"/>
      <protection locked="0"/>
    </xf>
    <xf numFmtId="0" fontId="5" fillId="0" borderId="3" xfId="0" applyFont="1" applyFill="1" applyBorder="1" applyAlignment="1" applyProtection="1">
      <alignment horizontal="right" vertical="center"/>
      <protection locked="0"/>
    </xf>
    <xf numFmtId="0" fontId="7" fillId="0" borderId="3" xfId="0" applyFont="1" applyFill="1" applyBorder="1" applyAlignment="1" applyProtection="1">
      <alignment horizontal="right" vertical="center"/>
      <protection locked="0"/>
    </xf>
    <xf numFmtId="0" fontId="8" fillId="0" borderId="3" xfId="0" applyFont="1" applyFill="1" applyBorder="1" applyAlignment="1" applyProtection="1">
      <alignment horizontal="right" vertical="center"/>
      <protection locked="0"/>
    </xf>
    <xf numFmtId="0" fontId="6" fillId="0" borderId="0" xfId="0" applyFont="1" applyFill="1" applyAlignment="1" applyProtection="1">
      <alignment horizontal="right"/>
      <protection locked="0"/>
    </xf>
    <xf numFmtId="0" fontId="5" fillId="0" borderId="0" xfId="0" applyFont="1" applyFill="1" applyAlignment="1" applyProtection="1">
      <alignment horizontal="right"/>
      <protection locked="0"/>
    </xf>
    <xf numFmtId="4" fontId="9" fillId="0" borderId="3" xfId="0" applyNumberFormat="1" applyFont="1" applyFill="1" applyBorder="1" applyAlignment="1" applyProtection="1">
      <alignment horizontal="right" vertical="center"/>
      <protection hidden="1"/>
    </xf>
    <xf numFmtId="4" fontId="5" fillId="0" borderId="3" xfId="0" applyNumberFormat="1" applyFont="1" applyFill="1" applyBorder="1" applyAlignment="1" applyProtection="1">
      <alignment horizontal="right" vertical="center"/>
      <protection hidden="1"/>
    </xf>
    <xf numFmtId="4" fontId="8" fillId="0" borderId="3" xfId="0" applyNumberFormat="1" applyFont="1" applyFill="1" applyBorder="1" applyAlignment="1" applyProtection="1">
      <alignment horizontal="right" vertical="center"/>
      <protection hidden="1"/>
    </xf>
    <xf numFmtId="165" fontId="9" fillId="0" borderId="0" xfId="0" applyNumberFormat="1" applyFont="1" applyFill="1" applyAlignment="1" applyProtection="1">
      <alignment horizontal="left"/>
      <protection locked="0"/>
    </xf>
    <xf numFmtId="15" fontId="9" fillId="0" borderId="0" xfId="0" applyNumberFormat="1" applyFont="1" applyFill="1" applyAlignment="1" applyProtection="1">
      <alignment horizontal="left"/>
      <protection locked="0"/>
    </xf>
    <xf numFmtId="0" fontId="1" fillId="0" borderId="0" xfId="0" applyFont="1" applyFill="1" applyAlignment="1" applyProtection="1">
      <alignment horizontal="center" vertical="center"/>
      <protection locked="0"/>
    </xf>
    <xf numFmtId="0" fontId="2" fillId="0" borderId="0" xfId="0" applyFont="1" applyFill="1" applyProtection="1">
      <protection locked="0"/>
    </xf>
    <xf numFmtId="164" fontId="5" fillId="0" borderId="4" xfId="0" applyNumberFormat="1" applyFont="1" applyFill="1" applyBorder="1" applyAlignment="1" applyProtection="1">
      <alignment horizontal="right" vertical="center"/>
      <protection hidden="1"/>
    </xf>
    <xf numFmtId="164" fontId="5" fillId="0" borderId="5" xfId="0" applyNumberFormat="1" applyFont="1" applyFill="1" applyBorder="1" applyAlignment="1" applyProtection="1">
      <alignment horizontal="right" vertical="center"/>
      <protection hidden="1"/>
    </xf>
    <xf numFmtId="4" fontId="5" fillId="0" borderId="4" xfId="0" applyNumberFormat="1" applyFont="1" applyFill="1" applyBorder="1" applyAlignment="1" applyProtection="1">
      <alignment horizontal="right" vertical="center"/>
      <protection hidden="1"/>
    </xf>
    <xf numFmtId="4" fontId="5" fillId="0" borderId="6" xfId="0" applyNumberFormat="1" applyFont="1" applyFill="1" applyBorder="1" applyAlignment="1" applyProtection="1">
      <alignment horizontal="right" vertical="center"/>
      <protection hidden="1"/>
    </xf>
    <xf numFmtId="4" fontId="5" fillId="0" borderId="5" xfId="0" applyNumberFormat="1" applyFont="1" applyFill="1" applyBorder="1" applyAlignment="1" applyProtection="1">
      <alignment horizontal="right" vertical="center"/>
      <protection hidden="1"/>
    </xf>
    <xf numFmtId="0" fontId="8" fillId="0" borderId="4" xfId="0" applyFont="1" applyFill="1" applyBorder="1" applyAlignment="1" applyProtection="1">
      <alignment horizontal="right"/>
      <protection locked="0"/>
    </xf>
    <xf numFmtId="0" fontId="8" fillId="0" borderId="5" xfId="0" applyFont="1" applyFill="1" applyBorder="1" applyAlignment="1" applyProtection="1">
      <alignment horizontal="right"/>
      <protection locked="0"/>
    </xf>
    <xf numFmtId="0" fontId="1" fillId="0" borderId="2" xfId="0" applyFont="1" applyFill="1" applyBorder="1" applyAlignment="1" applyProtection="1">
      <alignment horizontal="center" vertical="center"/>
      <protection locked="0"/>
    </xf>
    <xf numFmtId="0" fontId="2" fillId="0" borderId="2" xfId="0" applyFont="1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85717</xdr:colOff>
      <xdr:row>5</xdr:row>
      <xdr:rowOff>76207</xdr:rowOff>
    </xdr:from>
    <xdr:to>
      <xdr:col>1</xdr:col>
      <xdr:colOff>661027</xdr:colOff>
      <xdr:row>5</xdr:row>
      <xdr:rowOff>294647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EA4AED4E-B18E-4CBC-9918-74FD22AEAA7E}"/>
            </a:ext>
          </a:extLst>
        </xdr:cNvPr>
        <xdr:cNvGrpSpPr>
          <a:grpSpLocks/>
        </xdr:cNvGrpSpPr>
      </xdr:nvGrpSpPr>
      <xdr:grpSpPr>
        <a:xfrm>
          <a:off x="1181092" y="1009657"/>
          <a:ext cx="575310" cy="132715"/>
          <a:chOff x="-8" y="7"/>
          <a:chExt cx="575310" cy="218440"/>
        </a:xfrm>
      </xdr:grpSpPr>
      <xdr:sp macro="" textlink="">
        <xdr:nvSpPr>
          <xdr:cNvPr id="3" name="Freeform: Shape 2">
            <a:extLst>
              <a:ext uri="{FF2B5EF4-FFF2-40B4-BE49-F238E27FC236}">
                <a16:creationId xmlns:a16="http://schemas.microsoft.com/office/drawing/2014/main" id="{6A374958-1924-4AAC-836F-CF1AB237A212}"/>
              </a:ext>
            </a:extLst>
          </xdr:cNvPr>
          <xdr:cNvSpPr/>
        </xdr:nvSpPr>
        <xdr:spPr>
          <a:xfrm>
            <a:off x="-8" y="7"/>
            <a:ext cx="575310" cy="218440"/>
          </a:xfrm>
          <a:custGeom>
            <a:avLst/>
            <a:gdLst/>
            <a:ahLst/>
            <a:cxnLst/>
            <a:rect l="l" t="t" r="r" b="b"/>
            <a:pathLst>
              <a:path w="575310" h="218440">
                <a:moveTo>
                  <a:pt x="14566" y="0"/>
                </a:moveTo>
                <a:lnTo>
                  <a:pt x="0" y="0"/>
                </a:lnTo>
                <a:lnTo>
                  <a:pt x="0" y="218440"/>
                </a:lnTo>
                <a:lnTo>
                  <a:pt x="14566" y="218440"/>
                </a:lnTo>
                <a:lnTo>
                  <a:pt x="14566" y="0"/>
                </a:lnTo>
                <a:close/>
              </a:path>
              <a:path w="575310" h="218440">
                <a:moveTo>
                  <a:pt x="29133" y="0"/>
                </a:moveTo>
                <a:lnTo>
                  <a:pt x="21844" y="0"/>
                </a:lnTo>
                <a:lnTo>
                  <a:pt x="21844" y="218440"/>
                </a:lnTo>
                <a:lnTo>
                  <a:pt x="29133" y="218440"/>
                </a:lnTo>
                <a:lnTo>
                  <a:pt x="29133" y="0"/>
                </a:lnTo>
                <a:close/>
              </a:path>
              <a:path w="575310" h="218440">
                <a:moveTo>
                  <a:pt x="65532" y="0"/>
                </a:moveTo>
                <a:lnTo>
                  <a:pt x="43688" y="0"/>
                </a:lnTo>
                <a:lnTo>
                  <a:pt x="43688" y="218440"/>
                </a:lnTo>
                <a:lnTo>
                  <a:pt x="65532" y="218440"/>
                </a:lnTo>
                <a:lnTo>
                  <a:pt x="65532" y="0"/>
                </a:lnTo>
                <a:close/>
              </a:path>
              <a:path w="575310" h="218440">
                <a:moveTo>
                  <a:pt x="101942" y="0"/>
                </a:moveTo>
                <a:lnTo>
                  <a:pt x="80098" y="0"/>
                </a:lnTo>
                <a:lnTo>
                  <a:pt x="80098" y="218440"/>
                </a:lnTo>
                <a:lnTo>
                  <a:pt x="101942" y="218440"/>
                </a:lnTo>
                <a:lnTo>
                  <a:pt x="101942" y="0"/>
                </a:lnTo>
                <a:close/>
              </a:path>
              <a:path w="575310" h="218440">
                <a:moveTo>
                  <a:pt x="123786" y="0"/>
                </a:moveTo>
                <a:lnTo>
                  <a:pt x="116509" y="0"/>
                </a:lnTo>
                <a:lnTo>
                  <a:pt x="116509" y="218440"/>
                </a:lnTo>
                <a:lnTo>
                  <a:pt x="123786" y="218440"/>
                </a:lnTo>
                <a:lnTo>
                  <a:pt x="123786" y="0"/>
                </a:lnTo>
                <a:close/>
              </a:path>
              <a:path w="575310" h="218440">
                <a:moveTo>
                  <a:pt x="145630" y="0"/>
                </a:moveTo>
                <a:lnTo>
                  <a:pt x="131064" y="0"/>
                </a:lnTo>
                <a:lnTo>
                  <a:pt x="131064" y="218440"/>
                </a:lnTo>
                <a:lnTo>
                  <a:pt x="145630" y="218440"/>
                </a:lnTo>
                <a:lnTo>
                  <a:pt x="145630" y="0"/>
                </a:lnTo>
                <a:close/>
              </a:path>
              <a:path w="575310" h="218440">
                <a:moveTo>
                  <a:pt x="189318" y="0"/>
                </a:moveTo>
                <a:lnTo>
                  <a:pt x="160197" y="0"/>
                </a:lnTo>
                <a:lnTo>
                  <a:pt x="160197" y="218440"/>
                </a:lnTo>
                <a:lnTo>
                  <a:pt x="189318" y="218440"/>
                </a:lnTo>
                <a:lnTo>
                  <a:pt x="189318" y="0"/>
                </a:lnTo>
                <a:close/>
              </a:path>
              <a:path w="575310" h="218440">
                <a:moveTo>
                  <a:pt x="203885" y="0"/>
                </a:moveTo>
                <a:lnTo>
                  <a:pt x="196608" y="0"/>
                </a:lnTo>
                <a:lnTo>
                  <a:pt x="196608" y="218440"/>
                </a:lnTo>
                <a:lnTo>
                  <a:pt x="203885" y="218440"/>
                </a:lnTo>
                <a:lnTo>
                  <a:pt x="203885" y="0"/>
                </a:lnTo>
                <a:close/>
              </a:path>
              <a:path w="575310" h="218440">
                <a:moveTo>
                  <a:pt x="225729" y="0"/>
                </a:moveTo>
                <a:lnTo>
                  <a:pt x="218452" y="0"/>
                </a:lnTo>
                <a:lnTo>
                  <a:pt x="218452" y="218440"/>
                </a:lnTo>
                <a:lnTo>
                  <a:pt x="225729" y="218440"/>
                </a:lnTo>
                <a:lnTo>
                  <a:pt x="225729" y="0"/>
                </a:lnTo>
                <a:close/>
              </a:path>
              <a:path w="575310" h="218440">
                <a:moveTo>
                  <a:pt x="262140" y="0"/>
                </a:moveTo>
                <a:lnTo>
                  <a:pt x="240296" y="0"/>
                </a:lnTo>
                <a:lnTo>
                  <a:pt x="240296" y="218440"/>
                </a:lnTo>
                <a:lnTo>
                  <a:pt x="262140" y="218440"/>
                </a:lnTo>
                <a:lnTo>
                  <a:pt x="262140" y="0"/>
                </a:lnTo>
                <a:close/>
              </a:path>
              <a:path w="575310" h="218440">
                <a:moveTo>
                  <a:pt x="276694" y="0"/>
                </a:moveTo>
                <a:lnTo>
                  <a:pt x="269417" y="0"/>
                </a:lnTo>
                <a:lnTo>
                  <a:pt x="269417" y="218440"/>
                </a:lnTo>
                <a:lnTo>
                  <a:pt x="276694" y="218440"/>
                </a:lnTo>
                <a:lnTo>
                  <a:pt x="276694" y="0"/>
                </a:lnTo>
                <a:close/>
              </a:path>
              <a:path w="575310" h="218440">
                <a:moveTo>
                  <a:pt x="313105" y="0"/>
                </a:moveTo>
                <a:lnTo>
                  <a:pt x="283984" y="0"/>
                </a:lnTo>
                <a:lnTo>
                  <a:pt x="283984" y="218440"/>
                </a:lnTo>
                <a:lnTo>
                  <a:pt x="313105" y="218440"/>
                </a:lnTo>
                <a:lnTo>
                  <a:pt x="313105" y="0"/>
                </a:lnTo>
                <a:close/>
              </a:path>
              <a:path w="575310" h="218440">
                <a:moveTo>
                  <a:pt x="342239" y="0"/>
                </a:moveTo>
                <a:lnTo>
                  <a:pt x="320382" y="0"/>
                </a:lnTo>
                <a:lnTo>
                  <a:pt x="320382" y="218440"/>
                </a:lnTo>
                <a:lnTo>
                  <a:pt x="342239" y="218440"/>
                </a:lnTo>
                <a:lnTo>
                  <a:pt x="342239" y="0"/>
                </a:lnTo>
                <a:close/>
              </a:path>
              <a:path w="575310" h="218440">
                <a:moveTo>
                  <a:pt x="364083" y="0"/>
                </a:moveTo>
                <a:lnTo>
                  <a:pt x="349516" y="0"/>
                </a:lnTo>
                <a:lnTo>
                  <a:pt x="349516" y="218440"/>
                </a:lnTo>
                <a:lnTo>
                  <a:pt x="364083" y="218440"/>
                </a:lnTo>
                <a:lnTo>
                  <a:pt x="364083" y="0"/>
                </a:lnTo>
                <a:close/>
              </a:path>
              <a:path w="575310" h="218440">
                <a:moveTo>
                  <a:pt x="393204" y="0"/>
                </a:moveTo>
                <a:lnTo>
                  <a:pt x="371360" y="0"/>
                </a:lnTo>
                <a:lnTo>
                  <a:pt x="371360" y="218440"/>
                </a:lnTo>
                <a:lnTo>
                  <a:pt x="393204" y="218440"/>
                </a:lnTo>
                <a:lnTo>
                  <a:pt x="393204" y="0"/>
                </a:lnTo>
                <a:close/>
              </a:path>
              <a:path w="575310" h="218440">
                <a:moveTo>
                  <a:pt x="407771" y="0"/>
                </a:moveTo>
                <a:lnTo>
                  <a:pt x="400481" y="0"/>
                </a:lnTo>
                <a:lnTo>
                  <a:pt x="400481" y="218440"/>
                </a:lnTo>
                <a:lnTo>
                  <a:pt x="407771" y="218440"/>
                </a:lnTo>
                <a:lnTo>
                  <a:pt x="407771" y="0"/>
                </a:lnTo>
                <a:close/>
              </a:path>
              <a:path w="575310" h="218440">
                <a:moveTo>
                  <a:pt x="458736" y="0"/>
                </a:moveTo>
                <a:lnTo>
                  <a:pt x="429615" y="0"/>
                </a:lnTo>
                <a:lnTo>
                  <a:pt x="429615" y="218440"/>
                </a:lnTo>
                <a:lnTo>
                  <a:pt x="458736" y="218440"/>
                </a:lnTo>
                <a:lnTo>
                  <a:pt x="458736" y="0"/>
                </a:lnTo>
                <a:close/>
              </a:path>
              <a:path w="575310" h="218440">
                <a:moveTo>
                  <a:pt x="473303" y="0"/>
                </a:moveTo>
                <a:lnTo>
                  <a:pt x="466013" y="0"/>
                </a:lnTo>
                <a:lnTo>
                  <a:pt x="466013" y="218440"/>
                </a:lnTo>
                <a:lnTo>
                  <a:pt x="473303" y="218440"/>
                </a:lnTo>
                <a:lnTo>
                  <a:pt x="473303" y="0"/>
                </a:lnTo>
                <a:close/>
              </a:path>
              <a:path w="575310" h="218440">
                <a:moveTo>
                  <a:pt x="495147" y="0"/>
                </a:moveTo>
                <a:lnTo>
                  <a:pt x="480580" y="0"/>
                </a:lnTo>
                <a:lnTo>
                  <a:pt x="480580" y="218440"/>
                </a:lnTo>
                <a:lnTo>
                  <a:pt x="495147" y="218440"/>
                </a:lnTo>
                <a:lnTo>
                  <a:pt x="495147" y="0"/>
                </a:lnTo>
                <a:close/>
              </a:path>
              <a:path w="575310" h="218440">
                <a:moveTo>
                  <a:pt x="538835" y="0"/>
                </a:moveTo>
                <a:lnTo>
                  <a:pt x="516991" y="0"/>
                </a:lnTo>
                <a:lnTo>
                  <a:pt x="516991" y="218440"/>
                </a:lnTo>
                <a:lnTo>
                  <a:pt x="538835" y="218440"/>
                </a:lnTo>
                <a:lnTo>
                  <a:pt x="538835" y="0"/>
                </a:lnTo>
                <a:close/>
              </a:path>
              <a:path w="575310" h="218440">
                <a:moveTo>
                  <a:pt x="553402" y="0"/>
                </a:moveTo>
                <a:lnTo>
                  <a:pt x="546112" y="0"/>
                </a:lnTo>
                <a:lnTo>
                  <a:pt x="546112" y="218440"/>
                </a:lnTo>
                <a:lnTo>
                  <a:pt x="553402" y="218440"/>
                </a:lnTo>
                <a:lnTo>
                  <a:pt x="553402" y="0"/>
                </a:lnTo>
                <a:close/>
              </a:path>
              <a:path w="575310" h="218440">
                <a:moveTo>
                  <a:pt x="575246" y="0"/>
                </a:moveTo>
                <a:lnTo>
                  <a:pt x="560679" y="0"/>
                </a:lnTo>
                <a:lnTo>
                  <a:pt x="560679" y="218440"/>
                </a:lnTo>
                <a:lnTo>
                  <a:pt x="575246" y="218440"/>
                </a:lnTo>
                <a:lnTo>
                  <a:pt x="575246" y="0"/>
                </a:lnTo>
                <a:close/>
              </a:path>
            </a:pathLst>
          </a:custGeom>
          <a:solidFill>
            <a:srgbClr val="000000"/>
          </a:solidFill>
        </xdr:spPr>
        <xdr:txBody>
          <a:bodyPr wrap="square">
            <a:prstTxWarp prst="textNoShape">
              <a:avLst/>
            </a:prstTxWarp>
          </a:bodyPr>
          <a:lstStyle/>
          <a:p>
            <a:endParaRPr lang="en-US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E39"/>
  <sheetViews>
    <sheetView tabSelected="1" topLeftCell="A15" zoomScaleNormal="100" workbookViewId="0">
      <selection activeCell="G23" sqref="G23"/>
    </sheetView>
  </sheetViews>
  <sheetFormatPr defaultRowHeight="15" x14ac:dyDescent="0.25"/>
  <cols>
    <col min="1" max="1" width="16.42578125" style="1" bestFit="1" customWidth="1"/>
    <col min="2" max="2" width="40" style="1" customWidth="1"/>
    <col min="3" max="3" width="15" style="3" customWidth="1"/>
    <col min="4" max="4" width="18.42578125" style="1" bestFit="1" customWidth="1"/>
    <col min="5" max="5" width="26.85546875" style="3" bestFit="1" customWidth="1"/>
    <col min="6" max="16384" width="9.140625" style="1"/>
  </cols>
  <sheetData>
    <row r="1" spans="1:5" ht="18.75" x14ac:dyDescent="0.3">
      <c r="A1" s="30" t="s">
        <v>0</v>
      </c>
      <c r="B1" s="31"/>
      <c r="C1" s="31"/>
      <c r="D1" s="31"/>
      <c r="E1" s="31"/>
    </row>
    <row r="2" spans="1:5" ht="18.75" x14ac:dyDescent="0.25">
      <c r="A2" s="30" t="s">
        <v>1</v>
      </c>
      <c r="B2" s="30"/>
      <c r="C2" s="30"/>
      <c r="D2" s="30"/>
      <c r="E2" s="30"/>
    </row>
    <row r="3" spans="1:5" ht="4.5" customHeight="1" thickBot="1" x14ac:dyDescent="0.35">
      <c r="A3" s="39"/>
      <c r="B3" s="40"/>
      <c r="C3" s="40"/>
      <c r="D3" s="40"/>
      <c r="E3" s="40"/>
    </row>
    <row r="4" spans="1:5" x14ac:dyDescent="0.25">
      <c r="C4" s="2"/>
    </row>
    <row r="5" spans="1:5" ht="16.5" x14ac:dyDescent="0.25">
      <c r="A5" s="4" t="s">
        <v>2</v>
      </c>
      <c r="B5" s="5">
        <v>24865</v>
      </c>
      <c r="C5" s="6"/>
      <c r="D5" s="7" t="s">
        <v>4</v>
      </c>
      <c r="E5" s="8"/>
    </row>
    <row r="6" spans="1:5" ht="16.5" x14ac:dyDescent="0.25">
      <c r="A6" s="9"/>
      <c r="B6" s="5"/>
      <c r="C6" s="6"/>
      <c r="D6" s="10" t="s">
        <v>6</v>
      </c>
      <c r="E6" s="11" t="s">
        <v>27</v>
      </c>
    </row>
    <row r="7" spans="1:5" ht="16.5" x14ac:dyDescent="0.25">
      <c r="A7" s="4" t="s">
        <v>7</v>
      </c>
      <c r="B7" s="12" t="s">
        <v>8</v>
      </c>
      <c r="C7" s="6"/>
      <c r="D7" s="7" t="s">
        <v>9</v>
      </c>
      <c r="E7" s="8" t="s">
        <v>28</v>
      </c>
    </row>
    <row r="8" spans="1:5" ht="16.5" x14ac:dyDescent="0.25">
      <c r="A8" s="4" t="s">
        <v>3</v>
      </c>
      <c r="B8" s="29">
        <v>46214</v>
      </c>
      <c r="C8" s="6"/>
      <c r="D8" s="7" t="s">
        <v>10</v>
      </c>
      <c r="E8" s="28">
        <v>1728397385</v>
      </c>
    </row>
    <row r="9" spans="1:5" ht="16.5" x14ac:dyDescent="0.25">
      <c r="A9" s="4" t="s">
        <v>5</v>
      </c>
      <c r="B9" s="8">
        <v>45863</v>
      </c>
      <c r="C9" s="6"/>
      <c r="D9" s="7" t="s">
        <v>11</v>
      </c>
      <c r="E9" s="8"/>
    </row>
    <row r="10" spans="1:5" ht="16.5" x14ac:dyDescent="0.25">
      <c r="A10" s="9"/>
      <c r="B10" s="13"/>
      <c r="C10" s="6"/>
      <c r="D10" s="14"/>
    </row>
    <row r="11" spans="1:5" ht="16.5" x14ac:dyDescent="0.25">
      <c r="A11" s="4" t="s">
        <v>12</v>
      </c>
      <c r="B11" s="13" t="s">
        <v>13</v>
      </c>
      <c r="C11" s="2"/>
      <c r="D11" s="14"/>
    </row>
    <row r="13" spans="1:5" ht="17.25" customHeight="1" x14ac:dyDescent="0.25">
      <c r="A13" s="15" t="s">
        <v>14</v>
      </c>
      <c r="B13" s="15" t="s">
        <v>15</v>
      </c>
      <c r="C13" s="15" t="s">
        <v>16</v>
      </c>
      <c r="D13" s="15" t="s">
        <v>17</v>
      </c>
      <c r="E13" s="15" t="s">
        <v>18</v>
      </c>
    </row>
    <row r="14" spans="1:5" ht="17.25" customHeight="1" x14ac:dyDescent="0.25">
      <c r="A14" s="16">
        <v>1</v>
      </c>
      <c r="B14" s="17" t="s">
        <v>29</v>
      </c>
      <c r="C14" s="18">
        <v>2</v>
      </c>
      <c r="D14" s="19">
        <v>385</v>
      </c>
      <c r="E14" s="25">
        <f>IF(OR(C14="", D14=""), "", C14*D14)</f>
        <v>770</v>
      </c>
    </row>
    <row r="15" spans="1:5" ht="17.25" customHeight="1" x14ac:dyDescent="0.25">
      <c r="A15" s="16">
        <v>2</v>
      </c>
      <c r="B15" s="17" t="s">
        <v>30</v>
      </c>
      <c r="C15" s="18">
        <v>2</v>
      </c>
      <c r="D15" s="19">
        <v>465</v>
      </c>
      <c r="E15" s="25">
        <f t="shared" ref="E15:E27" si="0">IF(OR(C15="", D15=""), "", C15*D15)</f>
        <v>930</v>
      </c>
    </row>
    <row r="16" spans="1:5" ht="17.25" customHeight="1" x14ac:dyDescent="0.25">
      <c r="A16" s="16">
        <v>3</v>
      </c>
      <c r="B16" s="17" t="s">
        <v>31</v>
      </c>
      <c r="C16" s="18">
        <v>2</v>
      </c>
      <c r="D16" s="19">
        <v>560</v>
      </c>
      <c r="E16" s="25">
        <f t="shared" si="0"/>
        <v>1120</v>
      </c>
    </row>
    <row r="17" spans="1:5" ht="17.25" customHeight="1" x14ac:dyDescent="0.25">
      <c r="A17" s="16">
        <v>4</v>
      </c>
      <c r="B17" s="17" t="s">
        <v>32</v>
      </c>
      <c r="C17" s="18">
        <v>2</v>
      </c>
      <c r="D17" s="19">
        <v>630</v>
      </c>
      <c r="E17" s="25">
        <f t="shared" si="0"/>
        <v>1260</v>
      </c>
    </row>
    <row r="18" spans="1:5" ht="17.25" customHeight="1" x14ac:dyDescent="0.25">
      <c r="A18" s="16">
        <v>5</v>
      </c>
      <c r="B18" s="17" t="s">
        <v>33</v>
      </c>
      <c r="C18" s="18">
        <v>2</v>
      </c>
      <c r="D18" s="19">
        <v>775</v>
      </c>
      <c r="E18" s="25">
        <f t="shared" si="0"/>
        <v>1550</v>
      </c>
    </row>
    <row r="19" spans="1:5" ht="17.25" customHeight="1" x14ac:dyDescent="0.25">
      <c r="A19" s="16">
        <v>6</v>
      </c>
      <c r="B19" s="17" t="s">
        <v>34</v>
      </c>
      <c r="C19" s="18">
        <v>6</v>
      </c>
      <c r="D19" s="19">
        <v>100</v>
      </c>
      <c r="E19" s="25">
        <f t="shared" si="0"/>
        <v>600</v>
      </c>
    </row>
    <row r="20" spans="1:5" ht="17.25" customHeight="1" x14ac:dyDescent="0.25">
      <c r="A20" s="16">
        <v>7</v>
      </c>
      <c r="B20" s="17" t="s">
        <v>35</v>
      </c>
      <c r="C20" s="18">
        <v>6</v>
      </c>
      <c r="D20" s="19">
        <v>165</v>
      </c>
      <c r="E20" s="25">
        <f t="shared" si="0"/>
        <v>990</v>
      </c>
    </row>
    <row r="21" spans="1:5" ht="17.25" customHeight="1" x14ac:dyDescent="0.25">
      <c r="A21" s="16">
        <v>8</v>
      </c>
      <c r="B21" s="17" t="s">
        <v>36</v>
      </c>
      <c r="C21" s="18">
        <v>6</v>
      </c>
      <c r="D21" s="19">
        <v>265</v>
      </c>
      <c r="E21" s="25">
        <f t="shared" si="0"/>
        <v>1590</v>
      </c>
    </row>
    <row r="22" spans="1:5" ht="17.25" customHeight="1" x14ac:dyDescent="0.25">
      <c r="A22" s="16">
        <v>9</v>
      </c>
      <c r="B22" s="17" t="s">
        <v>37</v>
      </c>
      <c r="C22" s="18">
        <v>6</v>
      </c>
      <c r="D22" s="19">
        <v>305</v>
      </c>
      <c r="E22" s="25">
        <f t="shared" si="0"/>
        <v>1830</v>
      </c>
    </row>
    <row r="23" spans="1:5" ht="17.25" customHeight="1" x14ac:dyDescent="0.25">
      <c r="A23" s="16">
        <v>10</v>
      </c>
      <c r="B23" s="17" t="s">
        <v>38</v>
      </c>
      <c r="C23" s="18">
        <v>6</v>
      </c>
      <c r="D23" s="19">
        <v>380</v>
      </c>
      <c r="E23" s="25">
        <f t="shared" si="0"/>
        <v>2280</v>
      </c>
    </row>
    <row r="24" spans="1:5" ht="17.25" customHeight="1" x14ac:dyDescent="0.25">
      <c r="A24" s="16">
        <v>11</v>
      </c>
      <c r="B24" s="17" t="s">
        <v>39</v>
      </c>
      <c r="C24" s="18">
        <v>6</v>
      </c>
      <c r="D24" s="19">
        <v>420</v>
      </c>
      <c r="E24" s="25">
        <f t="shared" si="0"/>
        <v>2520</v>
      </c>
    </row>
    <row r="25" spans="1:5" ht="17.25" customHeight="1" x14ac:dyDescent="0.25">
      <c r="A25" s="16">
        <v>12</v>
      </c>
      <c r="B25" s="17" t="s">
        <v>40</v>
      </c>
      <c r="C25" s="18">
        <v>6</v>
      </c>
      <c r="D25" s="19">
        <v>179</v>
      </c>
      <c r="E25" s="25">
        <f t="shared" si="0"/>
        <v>1074</v>
      </c>
    </row>
    <row r="26" spans="1:5" ht="17.25" customHeight="1" x14ac:dyDescent="0.25">
      <c r="A26" s="16">
        <v>13</v>
      </c>
      <c r="B26" s="17" t="s">
        <v>41</v>
      </c>
      <c r="C26" s="18">
        <v>6</v>
      </c>
      <c r="D26" s="19">
        <v>229</v>
      </c>
      <c r="E26" s="25">
        <f t="shared" si="0"/>
        <v>1374</v>
      </c>
    </row>
    <row r="27" spans="1:5" ht="17.25" customHeight="1" x14ac:dyDescent="0.25">
      <c r="A27" s="16">
        <v>14</v>
      </c>
      <c r="B27" s="17" t="s">
        <v>42</v>
      </c>
      <c r="C27" s="18">
        <v>6</v>
      </c>
      <c r="D27" s="19">
        <v>299</v>
      </c>
      <c r="E27" s="25">
        <f t="shared" si="0"/>
        <v>1794</v>
      </c>
    </row>
    <row r="28" spans="1:5" ht="16.5" x14ac:dyDescent="0.25">
      <c r="A28" s="20" t="s">
        <v>19</v>
      </c>
      <c r="B28" s="32">
        <f>SUM(C14:C27)</f>
        <v>64</v>
      </c>
      <c r="C28" s="33"/>
      <c r="D28" s="21"/>
      <c r="E28" s="26">
        <f>SUM(E14:E27)</f>
        <v>19682</v>
      </c>
    </row>
    <row r="29" spans="1:5" ht="16.5" x14ac:dyDescent="0.25">
      <c r="A29" s="22" t="s">
        <v>20</v>
      </c>
      <c r="B29" s="37" t="s">
        <v>21</v>
      </c>
      <c r="C29" s="38"/>
      <c r="D29" s="22"/>
      <c r="E29" s="27">
        <f>E28*(D29/E28)</f>
        <v>0</v>
      </c>
    </row>
    <row r="30" spans="1:5" ht="16.5" x14ac:dyDescent="0.25">
      <c r="A30" s="22" t="s">
        <v>20</v>
      </c>
      <c r="B30" s="37" t="s">
        <v>21</v>
      </c>
      <c r="C30" s="38"/>
      <c r="D30" s="22">
        <v>10</v>
      </c>
      <c r="E30" s="27">
        <f>(E28-E29)*(D30/100)</f>
        <v>1968.2</v>
      </c>
    </row>
    <row r="31" spans="1:5" ht="16.5" x14ac:dyDescent="0.25">
      <c r="A31" s="22" t="s">
        <v>20</v>
      </c>
      <c r="B31" s="37" t="s">
        <v>21</v>
      </c>
      <c r="C31" s="38"/>
      <c r="D31" s="22"/>
      <c r="E31" s="27">
        <f>(E28-E29-E30)*(D31/100)</f>
        <v>0</v>
      </c>
    </row>
    <row r="32" spans="1:5" ht="16.5" x14ac:dyDescent="0.25">
      <c r="A32" s="20" t="s">
        <v>22</v>
      </c>
      <c r="B32" s="34">
        <f>E28-E29-E30-E31</f>
        <v>17713.8</v>
      </c>
      <c r="C32" s="35"/>
      <c r="D32" s="35"/>
      <c r="E32" s="36"/>
    </row>
    <row r="39" spans="1:5" ht="16.5" x14ac:dyDescent="0.25">
      <c r="A39" s="4" t="s">
        <v>23</v>
      </c>
      <c r="B39" s="4" t="s">
        <v>24</v>
      </c>
      <c r="C39" s="23"/>
      <c r="D39" s="4" t="s">
        <v>25</v>
      </c>
      <c r="E39" s="24" t="s">
        <v>26</v>
      </c>
    </row>
  </sheetData>
  <sheetProtection algorithmName="SHA-512" hashValue="O0Ll1C5q7Zlq4a3uQStahRvTglt6YGs7Sxs4mbR0EbwxoPncbKcaDbZLlp670JDwvzgIfBSAUFsuvjRgvnCx9g==" saltValue="TKg7KCOs8kG1Txxmtm4hEg==" spinCount="100000" sheet="1" objects="1" scenarios="1"/>
  <mergeCells count="8">
    <mergeCell ref="A1:E1"/>
    <mergeCell ref="A2:E2"/>
    <mergeCell ref="B28:C28"/>
    <mergeCell ref="B32:E32"/>
    <mergeCell ref="B29:C29"/>
    <mergeCell ref="B30:C30"/>
    <mergeCell ref="B31:C31"/>
    <mergeCell ref="A3:E3"/>
  </mergeCells>
  <dataValidations count="1">
    <dataValidation type="date" allowBlank="1" showInputMessage="1" showErrorMessage="1" sqref="B8" xr:uid="{E7241EA0-4684-41F1-8DFE-41512F4DEDDC}">
      <formula1>45658</formula1>
      <formula2>47484</formula2>
    </dataValidation>
  </dataValidations>
  <pageMargins left="0.7" right="0.7" top="0.75" bottom="0.75" header="0.3" footer="0.3"/>
  <pageSetup paperSize="9" scale="7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Invoice_Automated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Rabiul</cp:lastModifiedBy>
  <cp:lastPrinted>2026-07-11T05:41:05Z</cp:lastPrinted>
  <dcterms:created xsi:type="dcterms:W3CDTF">2026-06-14T09:15:54Z</dcterms:created>
  <dcterms:modified xsi:type="dcterms:W3CDTF">2026-07-11T05:41:36Z</dcterms:modified>
</cp:coreProperties>
</file>